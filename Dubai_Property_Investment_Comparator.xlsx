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Property Comparison" sheetId="1" state="visible" r:id="rId3"/>
    <sheet name="🏦 Mortgage Calculator" sheetId="2" state="visible" r:id="rId4"/>
    <sheet name="📈 Cash Flow Projection" sheetId="3" state="visible" r:id="rId5"/>
    <sheet name="📋 DLD Fee Guide" sheetId="4" state="visible" r:id="rId6"/>
    <sheet name="📊 KPI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<sst xmlns="http://schemas.openxmlformats.org/spreadsheetml/2006/main" count="325" uniqueCount="283">
  <si>
    <t xml:space="preserve">🏙️  DUBAI PROPERTY INVESTMENT COMPARATOR</t>
  </si>
  <si>
    <t xml:space="preserve">All figures in AED  |  Blue = inputs  |  Black = formulas  |  Dubai Land Department standard rates applied</t>
  </si>
  <si>
    <t xml:space="preserve">#</t>
  </si>
  <si>
    <t xml:space="preserve">METRIC</t>
  </si>
  <si>
    <t xml:space="preserve">Property 1</t>
  </si>
  <si>
    <t xml:space="preserve">Property 2</t>
  </si>
  <si>
    <t xml:space="preserve">Property 3</t>
  </si>
  <si>
    <t xml:space="preserve">Property 4</t>
  </si>
  <si>
    <t xml:space="preserve">Property 5</t>
  </si>
  <si>
    <t xml:space="preserve">① PROPERTY DETAILS</t>
  </si>
  <si>
    <t xml:space="preserve">  Property Name / Description</t>
  </si>
  <si>
    <t xml:space="preserve">  Location / Community</t>
  </si>
  <si>
    <t xml:space="preserve">Dubai Marina</t>
  </si>
  <si>
    <t xml:space="preserve">Downtown</t>
  </si>
  <si>
    <t xml:space="preserve">JVC</t>
  </si>
  <si>
    <t xml:space="preserve">Palm Jumeirah</t>
  </si>
  <si>
    <t xml:space="preserve">Business Bay</t>
  </si>
  <si>
    <t xml:space="preserve">  Property Type</t>
  </si>
  <si>
    <t xml:space="preserve">Apartment</t>
  </si>
  <si>
    <t xml:space="preserve">Villa</t>
  </si>
  <si>
    <t xml:space="preserve">  Bedrooms</t>
  </si>
  <si>
    <t xml:space="preserve">  Size (sq ft)</t>
  </si>
  <si>
    <t xml:space="preserve">  Purchase Price (AED)</t>
  </si>
  <si>
    <t xml:space="preserve">    Listed Price per sq ft</t>
  </si>
  <si>
    <t xml:space="preserve">② ACQUISITION COSTS  (One-Time)</t>
  </si>
  <si>
    <t xml:space="preserve">  DLD Transfer Fee (4% standard)</t>
  </si>
  <si>
    <t xml:space="preserve">      ↳ DLD Fee Amount</t>
  </si>
  <si>
    <t xml:space="preserve">  Trustee Office Fee (AED)</t>
  </si>
  <si>
    <t xml:space="preserve">  NOC Certificate (AED)</t>
  </si>
  <si>
    <t xml:space="preserve">  Agent Commission (%)</t>
  </si>
  <si>
    <t xml:space="preserve">      ↳ Agent Fee Amount</t>
  </si>
  <si>
    <t xml:space="preserve">  Mortgage Reg. Fee (% of loan)</t>
  </si>
  <si>
    <t xml:space="preserve">  Loan Amount (0 if cash)</t>
  </si>
  <si>
    <t xml:space="preserve">      ↳ Mortgage Reg. Fee Amount</t>
  </si>
  <si>
    <t xml:space="preserve">  Property Valuation Fee</t>
  </si>
  <si>
    <t xml:space="preserve">  Furnishing / Fit-Out Cost</t>
  </si>
  <si>
    <t xml:space="preserve">  Other Acquisition Costs</t>
  </si>
  <si>
    <t xml:space="preserve">∑</t>
  </si>
  <si>
    <t xml:space="preserve">TOTAL ACQUISITION COSTS</t>
  </si>
  <si>
    <t xml:space="preserve">TOTAL INVESTMENT (Price + Acq.)</t>
  </si>
  <si>
    <t xml:space="preserve">  Equity / Cash Down Payment (AED)</t>
  </si>
  <si>
    <t xml:space="preserve">③ ANNUAL HOLDING COSTS</t>
  </si>
  <si>
    <t xml:space="preserve">  Service Charges (AED/sqft/yr)</t>
  </si>
  <si>
    <t xml:space="preserve">      ↳ Service Charge Amount</t>
  </si>
  <si>
    <t xml:space="preserve">  Property Management Fee (%)</t>
  </si>
  <si>
    <t xml:space="preserve">  Maintenance &amp; Repairs (AED)</t>
  </si>
  <si>
    <t xml:space="preserve">  Property Insurance (AED)</t>
  </si>
  <si>
    <t xml:space="preserve">  DEWA / Utilities (AED, owner-paid)</t>
  </si>
  <si>
    <t xml:space="preserve">  Annual Mortgage Payments (AED)</t>
  </si>
  <si>
    <t xml:space="preserve">  Other Annual Costs (AED)</t>
  </si>
  <si>
    <t xml:space="preserve">TOTAL ANNUAL HOLDING COSTS</t>
  </si>
  <si>
    <t xml:space="preserve">④ RENTAL INCOME</t>
  </si>
  <si>
    <t xml:space="preserve">  Estimated Gross Annual Rent (AED)</t>
  </si>
  <si>
    <t xml:space="preserve">  Vacancy Rate (%)</t>
  </si>
  <si>
    <t xml:space="preserve">      Effective Annual Rent</t>
  </si>
  <si>
    <t xml:space="preserve">      Management Fee Amount</t>
  </si>
  <si>
    <t xml:space="preserve">NET ANNUAL RENTAL INCOME</t>
  </si>
  <si>
    <t xml:space="preserve">⑤ KEY KPIs &amp; RETURNS</t>
  </si>
  <si>
    <t xml:space="preserve">K1</t>
  </si>
  <si>
    <t xml:space="preserve">  Gross Rental Yield (%)</t>
  </si>
  <si>
    <t xml:space="preserve">K2</t>
  </si>
  <si>
    <t xml:space="preserve">  Net Rental Yield (%)</t>
  </si>
  <si>
    <t xml:space="preserve">K3</t>
  </si>
  <si>
    <t xml:space="preserve">ROI — Return on Investment (%)</t>
  </si>
  <si>
    <t xml:space="preserve">K4</t>
  </si>
  <si>
    <t xml:space="preserve">ROE — Return on Equity (%)</t>
  </si>
  <si>
    <t xml:space="preserve">K5</t>
  </si>
  <si>
    <t xml:space="preserve">  Annual Net Cash Flow (AED)</t>
  </si>
  <si>
    <t xml:space="preserve">K6</t>
  </si>
  <si>
    <t xml:space="preserve">    Monthly Cash Flow (AED)</t>
  </si>
  <si>
    <t xml:space="preserve">K7</t>
  </si>
  <si>
    <t xml:space="preserve">  Payback Period (years)</t>
  </si>
  <si>
    <t xml:space="preserve">⑥ CAPITAL APPRECIATION</t>
  </si>
  <si>
    <t xml:space="preserve">  Annual Appreciation Rate (%)</t>
  </si>
  <si>
    <t xml:space="preserve">  Holding Period (years)</t>
  </si>
  <si>
    <t xml:space="preserve">K8</t>
  </si>
  <si>
    <t xml:space="preserve">  Projected Future Value</t>
  </si>
  <si>
    <t xml:space="preserve">K9</t>
  </si>
  <si>
    <t xml:space="preserve">  Projected Capital Gain</t>
  </si>
  <si>
    <t xml:space="preserve">K10</t>
  </si>
  <si>
    <t xml:space="preserve">  Total Return (Rent + Gain)</t>
  </si>
  <si>
    <t xml:space="preserve">K11</t>
  </si>
  <si>
    <t xml:space="preserve">  Annualized Total ROI (%)</t>
  </si>
  <si>
    <t xml:space="preserve">⑦ PRICE BENCHMARKS</t>
  </si>
  <si>
    <t xml:space="preserve">K12</t>
  </si>
  <si>
    <t xml:space="preserve">  Actual Price per sq ft</t>
  </si>
  <si>
    <t xml:space="preserve">K13</t>
  </si>
  <si>
    <t xml:space="preserve">  Annual Rent per sq ft</t>
  </si>
  <si>
    <t xml:space="preserve">K14</t>
  </si>
  <si>
    <t xml:space="preserve">  Price-to-Rent Ratio</t>
  </si>
  <si>
    <t xml:space="preserve">K15</t>
  </si>
  <si>
    <t xml:space="preserve">  Break-even Occupancy (%)</t>
  </si>
  <si>
    <t xml:space="preserve">⑧ INVESTMENT SCORE (auto-ranked)</t>
  </si>
  <si>
    <t xml:space="preserve">★</t>
  </si>
  <si>
    <t xml:space="preserve">  Composite Score (Yield + ROI + ApprecRate)</t>
  </si>
  <si>
    <t xml:space="preserve">🏆</t>
  </si>
  <si>
    <t xml:space="preserve">  Rank (1 = Best)</t>
  </si>
  <si>
    <t xml:space="preserve">LEGEND</t>
  </si>
  <si>
    <t xml:space="preserve">Blue text</t>
  </si>
  <si>
    <t xml:space="preserve">User inputs — change these for each property</t>
  </si>
  <si>
    <t xml:space="preserve">Black text</t>
  </si>
  <si>
    <t xml:space="preserve">Formula calculations — do not edit</t>
  </si>
  <si>
    <t xml:space="preserve">🟨 Gold rows</t>
  </si>
  <si>
    <t xml:space="preserve">Key KPI highlights</t>
  </si>
  <si>
    <t xml:space="preserve">🟩 Green</t>
  </si>
  <si>
    <t xml:space="preserve">Positive cash flow / yields</t>
  </si>
  <si>
    <t xml:space="preserve">🟥 Red shading</t>
  </si>
  <si>
    <t xml:space="preserve">Low returns (conditional)</t>
  </si>
  <si>
    <t xml:space="preserve">🏦  DUBAI MORTGAGE CALCULATOR &amp; CASH vs FINANCE COMPARISON</t>
  </si>
  <si>
    <t xml:space="preserve">Blue = inputs  |  Black = formulas  |  Green = linked from Property Comparison  |  UAE/Dubai bank standards applied</t>
  </si>
  <si>
    <t xml:space="preserve">INPUT / METRIC</t>
  </si>
  <si>
    <t xml:space="preserve">🏦 MORTGAGE ROUTE</t>
  </si>
  <si>
    <t xml:space="preserve">💵 CASH ROUTE</t>
  </si>
  <si>
    <t xml:space="preserve">AMORTISATION SCHEDULE (Annual Summary)</t>
  </si>
  <si>
    <t xml:space="preserve">① PROPERTY DETAILS — link from comparison sheet or enter manually</t>
  </si>
  <si>
    <t xml:space="preserve">YEAR</t>
  </si>
  <si>
    <t xml:space="preserve">PRINCIPAL PAID (AED)</t>
  </si>
  <si>
    <t xml:space="preserve">INTEREST PAID (AED)</t>
  </si>
  <si>
    <t xml:space="preserve">1</t>
  </si>
  <si>
    <t xml:space="preserve">Property Name</t>
  </si>
  <si>
    <t xml:space="preserve">My Property</t>
  </si>
  <si>
    <t xml:space="preserve">2</t>
  </si>
  <si>
    <t xml:space="preserve">Purchase Price (AED)</t>
  </si>
  <si>
    <t xml:space="preserve">3</t>
  </si>
  <si>
    <t xml:space="preserve">Gross Annual Rent (AED)</t>
  </si>
  <si>
    <t xml:space="preserve">4</t>
  </si>
  <si>
    <t xml:space="preserve">Annual Holding Costs (AED)</t>
  </si>
  <si>
    <t xml:space="preserve">5</t>
  </si>
  <si>
    <t xml:space="preserve">Total Acquisition Costs (AED)</t>
  </si>
  <si>
    <t xml:space="preserve">② MORTGAGE PARAMETERS (UAE Bank Standards)</t>
  </si>
  <si>
    <t xml:space="preserve">6</t>
  </si>
  <si>
    <t xml:space="preserve">Down Payment (%)</t>
  </si>
  <si>
    <t xml:space="preserve">N/A — full cash</t>
  </si>
  <si>
    <t xml:space="preserve">7</t>
  </si>
  <si>
    <t xml:space="preserve">  ↳ Down Payment Amount (AED)</t>
  </si>
  <si>
    <t xml:space="preserve">8</t>
  </si>
  <si>
    <t xml:space="preserve">  ↳ Loan Amount (AED)</t>
  </si>
  <si>
    <t xml:space="preserve">9</t>
  </si>
  <si>
    <t xml:space="preserve">Annual Interest Rate (%)</t>
  </si>
  <si>
    <t xml:space="preserve">N/A</t>
  </si>
  <si>
    <t xml:space="preserve">10</t>
  </si>
  <si>
    <t xml:space="preserve">Loan Term (years)</t>
  </si>
  <si>
    <t xml:space="preserve">11</t>
  </si>
  <si>
    <t xml:space="preserve">Mortgage Registration Fee (AED)</t>
  </si>
  <si>
    <t xml:space="preserve">12</t>
  </si>
  <si>
    <t xml:space="preserve">Property Valuation Fee (AED)</t>
  </si>
  <si>
    <t xml:space="preserve">③ MORTGAGE CALCULATIONS</t>
  </si>
  <si>
    <t xml:space="preserve">Monthly Interest Rate</t>
  </si>
  <si>
    <t xml:space="preserve">Total Payments (months)</t>
  </si>
  <si>
    <t xml:space="preserve">M1</t>
  </si>
  <si>
    <t xml:space="preserve">Monthly Mortgage Payment (AED)</t>
  </si>
  <si>
    <t xml:space="preserve">M2</t>
  </si>
  <si>
    <t xml:space="preserve">Annual Mortgage Payment (AED)</t>
  </si>
  <si>
    <t xml:space="preserve">Total Interest Paid (full term)</t>
  </si>
  <si>
    <t xml:space="preserve">Total Amount Repaid (principal+interest)</t>
  </si>
  <si>
    <t xml:space="preserve">④ TOTAL CAPITAL DEPLOYED (Your Cash Out-of-Pocket)</t>
  </si>
  <si>
    <t xml:space="preserve">Cash Deployed at Purchase</t>
  </si>
  <si>
    <t xml:space="preserve">C1</t>
  </si>
  <si>
    <t xml:space="preserve">Total Cash Invested (incl. all mortgage pmts)</t>
  </si>
  <si>
    <t xml:space="preserve">TOTAL</t>
  </si>
  <si>
    <t xml:space="preserve">⑤ ANNUAL CASH FLOW COMPARISON</t>
  </si>
  <si>
    <t xml:space="preserve">📘 GUIDE — How to Read the KPIs</t>
  </si>
  <si>
    <t xml:space="preserve">Gross Annual Rent</t>
  </si>
  <si>
    <t xml:space="preserve">Cash-on-Cash (CoC)</t>
  </si>
  <si>
    <t xml:space="preserve">Net cash flow ÷ actual cash deployed. Best measure of leverage benefit.</t>
  </si>
  <si>
    <t xml:space="preserve">Less: Vacancy (5%)</t>
  </si>
  <si>
    <t xml:space="preserve">ROE</t>
  </si>
  <si>
    <t xml:space="preserve">Cash flow ÷ equity (down payment). Higher with mortgage = leverage working.</t>
  </si>
  <si>
    <t xml:space="preserve">Less: Holding Costs</t>
  </si>
  <si>
    <t xml:space="preserve">DSCR</t>
  </si>
  <si>
    <t xml:space="preserve">&gt;1.25x = healthy. &lt;1.0x = rent doesn't cover mortgage — danger zone.</t>
  </si>
  <si>
    <t xml:space="preserve">Less: Annual Mortgage Payment</t>
  </si>
  <si>
    <t xml:space="preserve">Leverage Multiplier</t>
  </si>
  <si>
    <t xml:space="preserve">ROE ÷ Net Yield. &gt;1x means financing amplifies your return.</t>
  </si>
  <si>
    <t xml:space="preserve">CF1</t>
  </si>
  <si>
    <t xml:space="preserve">NET ANNUAL CASH FLOW</t>
  </si>
  <si>
    <t xml:space="preserve">Break-even Occ.</t>
  </si>
  <si>
    <t xml:space="preserve">% occupancy needed just to cover costs. Lower = safer investment.</t>
  </si>
  <si>
    <t xml:space="preserve">CF2</t>
  </si>
  <si>
    <t xml:space="preserve">Monthly Cash Flow</t>
  </si>
  <si>
    <t xml:space="preserve">When mortgage wins</t>
  </si>
  <si>
    <t xml:space="preserve">Low rates + high appreciation = leverage magnifies total return.</t>
  </si>
  <si>
    <t xml:space="preserve">When cash wins</t>
  </si>
  <si>
    <t xml:space="preserve">High rates, flat market, or you want guaranteed positive cash flow.</t>
  </si>
  <si>
    <t xml:space="preserve">⑥ KEY KPIs — MORTGAGE vs CASH  (The Verdict)</t>
  </si>
  <si>
    <t xml:space="preserve">Gross Rental Yield (%)</t>
  </si>
  <si>
    <t xml:space="preserve">Net Rental Yield (%)</t>
  </si>
  <si>
    <t xml:space="preserve">Cash-on-Cash Return (%) — CoC</t>
  </si>
  <si>
    <t xml:space="preserve">Leverage Multiplier (ROE÷Net Yield)</t>
  </si>
  <si>
    <t xml:space="preserve">Debt Service Coverage Ratio (DSCR)</t>
  </si>
  <si>
    <t xml:space="preserve">Payback Period (years)</t>
  </si>
  <si>
    <t xml:space="preserve">Break-even Occupancy (%)</t>
  </si>
  <si>
    <t xml:space="preserve">Interest Cost as % of Rent</t>
  </si>
  <si>
    <t xml:space="preserve">⑦ VERDICT — Which Route Wins?</t>
  </si>
  <si>
    <t xml:space="preserve">Better Cash-on-Cash Return?</t>
  </si>
  <si>
    <t xml:space="preserve">Better ROE?</t>
  </si>
  <si>
    <t xml:space="preserve">DSCR Safe? (&gt;1.25x = safe)</t>
  </si>
  <si>
    <t xml:space="preserve">"✅ No debt — always safe"</t>
  </si>
  <si>
    <t xml:space="preserve">Positive Cash Flow?</t>
  </si>
  <si>
    <t xml:space="preserve">⑧ KPI VISUAL COMPARISON</t>
  </si>
  <si>
    <t xml:space="preserve">KPI</t>
  </si>
  <si>
    <t xml:space="preserve">Mortgage</t>
  </si>
  <si>
    <t xml:space="preserve">Cash</t>
  </si>
  <si>
    <t xml:space="preserve">Gross Yield</t>
  </si>
  <si>
    <t xml:space="preserve">Net Yield</t>
  </si>
  <si>
    <t xml:space="preserve">Cash-on-Cash</t>
  </si>
  <si>
    <t xml:space="preserve">ROI</t>
  </si>
  <si>
    <t xml:space="preserve">📈  CASH FLOW PROJECTION — 10 YEAR ANALYSIS</t>
  </si>
  <si>
    <t xml:space="preserve">Select a property from the comparison sheet · Adjust rent growth and appreciation for scenario analysis</t>
  </si>
  <si>
    <t xml:space="preserve">SCENARIO INPUTS</t>
  </si>
  <si>
    <t xml:space="preserve">Initial Property Value (AED)</t>
  </si>
  <si>
    <t xml:space="preserve">Annual Rent (AED)</t>
  </si>
  <si>
    <t xml:space="preserve">Appreciation %/yr</t>
  </si>
  <si>
    <t xml:space="preserve">Rent Growth %/yr</t>
  </si>
  <si>
    <t xml:space="preserve">Vacancy Rate</t>
  </si>
  <si>
    <t xml:space="preserve">10-YEAR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</si>
  <si>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</si>
  <si>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</si>
  <si>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</si>
  <si>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</si>
  <si>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</si>
  <si>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</si>
  <si>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</si>
  <si>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</si>
  <si>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</si>
  <si>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</si>
  <si>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Property Value (AED)</t>
  </si>
  <si>
    <t xml:space="preserve">Gross Rent (AED)</t>
  </si>
  <si>
    <t xml:space="preserve">Effective Rent (AED)</t>
  </si>
  <si>
    <t xml:space="preserve">Holding Costs (AED)</t>
  </si>
  <si>
    <t xml:space="preserve">Net Cash Flow (AED)</t>
  </si>
  <si>
    <t xml:space="preserve">Cumulative Cash Flow</t>
  </si>
  <si>
    <t xml:space="preserve">Capital Gain (AED)</t>
  </si>
  <si>
    <t xml:space="preserve">Total Wealth (AED)</t>
  </si>
  <si>
    <t xml:space="preserve">ROI (annual)</t>
  </si>
  <si>
    <t xml:space="preserve">Cumulative ROI</t>
  </si>
  <si>
    <t xml:space="preserve">📋  DUBAI LAND DEPARTMENT — FEE GUIDE &amp; REFERENCE</t>
  </si>
  <si>
    <t xml:space="preserve">FEE TYPE</t>
  </si>
  <si>
    <t xml:space="preserve">AMOUNT</t>
  </si>
  <si>
    <t xml:space="preserve">NOTES</t>
  </si>
  <si>
    <t xml:space="preserve">DLD Transfer Fee</t>
  </si>
  <si>
    <t xml:space="preserve">4% of purchase price</t>
  </si>
  <si>
    <t xml:space="preserve">Mandatory for all property transfers. Paid to Dubai Land Department.</t>
  </si>
  <si>
    <t xml:space="preserve">Trustee Office Fee</t>
  </si>
  <si>
    <t xml:space="preserve">AED 4,000 (residential) / AED 10,000 (commercial)</t>
  </si>
  <si>
    <t xml:space="preserve">Payable to the Trustee's office handling the transfer.</t>
  </si>
  <si>
    <t xml:space="preserve">NOC Certificate</t>
  </si>
  <si>
    <t xml:space="preserve">AED 500 – AED 5,000</t>
  </si>
  <si>
    <t xml:space="preserve">No Objection Certificate from developer. Varies by developer.</t>
  </si>
  <si>
    <t xml:space="preserve">Real Estate Agent Commission</t>
  </si>
  <si>
    <t xml:space="preserve">2% of purchase price</t>
  </si>
  <si>
    <t xml:space="preserve">Buyer typically pays 2%; sometimes negotiable.</t>
  </si>
  <si>
    <t xml:space="preserve">Mortgage Registration Fee</t>
  </si>
  <si>
    <t xml:space="preserve">0.25% of loan amount + AED 290</t>
  </si>
  <si>
    <t xml:space="preserve">Applicable only when financing through a bank.</t>
  </si>
  <si>
    <t xml:space="preserve">Property Valuation Fee</t>
  </si>
  <si>
    <t xml:space="preserve">AED 2,500 – AED 3,500</t>
  </si>
  <si>
    <t xml:space="preserve">Required by banks for mortgage applications.</t>
  </si>
  <si>
    <t xml:space="preserve">Title Deed Registration Fee</t>
  </si>
  <si>
    <t xml:space="preserve">AED 580 (e-Title)</t>
  </si>
  <si>
    <t xml:space="preserve">Electronic title deed issuance fee.</t>
  </si>
  <si>
    <t xml:space="preserve">Service Charges (annual)</t>
  </si>
  <si>
    <t xml:space="preserve">AED 12 – AED 35 per sq ft</t>
  </si>
  <si>
    <t xml:space="preserve">Varies by community. Paid to RERA-regulated OA.</t>
  </si>
  <si>
    <t xml:space="preserve">Property Management</t>
  </si>
  <si>
    <t xml:space="preserve">5% – 10% of annual rent</t>
  </si>
  <si>
    <t xml:space="preserve">If using a property management company.</t>
  </si>
  <si>
    <t xml:space="preserve">DEWA Security Deposit</t>
  </si>
  <si>
    <t xml:space="preserve">AED 2,000 (apts) / AED 4,000 (villas)</t>
  </si>
  <si>
    <t xml:space="preserve">Refundable deposit for electricity &amp; water.</t>
  </si>
  <si>
    <t xml:space="preserve">Ejari Registration</t>
  </si>
  <si>
    <t xml:space="preserve">AED 220</t>
  </si>
  <si>
    <t xml:space="preserve">Mandatory tenancy contract registration fee.</t>
  </si>
  <si>
    <t xml:space="preserve">📊  PROPERTY COMPARISON DASHBOARD</t>
  </si>
  <si>
    <t xml:space="preserve">Purchase Price</t>
  </si>
  <si>
    <t xml:space="preserve">Net Rental Yield</t>
  </si>
  <si>
    <t xml:space="preserve">Annual Cash Flow</t>
  </si>
  <si>
    <t xml:space="preserve">Payback (yrs)</t>
  </si>
  <si>
    <t xml:space="preserve">Composite Score</t>
  </si>
  <si>
    <t xml:space="preserve">Rank</t>
  </si>
  <si>
    <t xml:space="preserve">ROI Comparison Chart ↓</t>
  </si>
  <si>
    <t xml:space="preserve">ROI (%)</t>
  </si>
  <si>
    <t xml:space="preserve">Net Yield (%)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</si>
</sst>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@"/>
    <numFmt numFmtId="166" formatCode="0"/>
    <numFmt numFmtId="167" formatCode="#,##0&quot; sqft&quot;"/>
    <numFmt numFmtId="168" formatCode="#,##0&quot; AED&quot;;\(#,##0&quot; AED)&quot;;\-"/>
    <numFmt numFmtId="169" formatCode="#,##0.0&quot; AED/sqft&quot;"/>
    <numFmt numFmtId="170" formatCode="0.0%"/>
    <numFmt numFmtId="171" formatCode="#,##0.00&quot; AED/sqft&quot;"/>
    <numFmt numFmtId="172" formatCode="0.00%"/>
    <numFmt numFmtId="173" formatCode="0.0&quot; yrs&quot;"/>
    <numFmt numFmtId="174" formatCode="0&quot; yrs&quot;"/>
    <numFmt numFmtId="175" formatCode="0.0\x"/>
    <numFmt numFmtId="176" formatCode="0.000&quot;  pts&quot;"/>
    <numFmt numFmtId="177" formatCode="#,##0&quot; AED&quot;;\(#,##0&quot; AED)&quot;;\-"/>
    <numFmt numFmtId="178" formatCode="0.000%"/>
    <numFmt numFmtId="179" formatCode="#,##0;\(#,##0\);\-"/>
    <numFmt numFmtId="180" formatCode="0.00\x"/>
    <numFmt numFmtId="181" formatCode="#,##0"/>
    <numFmt numFmtId="182" formatCode="0.0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B8860B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1A3557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b val="true"/>
      <sz val="10"/>
      <color rgb="FF0D6E6E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color rgb="FF1A6B3C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A93226"/>
      <name val="Arial"/>
      <family val="0"/>
      <charset val="1"/>
    </font>
    <font>
      <b val="true"/>
      <sz val="16"/>
      <color rgb="FFB8860B"/>
      <name val="Arial"/>
      <family val="0"/>
      <charset val="1"/>
    </font>
    <font>
      <sz val="10"/>
      <color rgb="FFA93226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D6E6E"/>
      <name val="Arial"/>
      <family val="0"/>
      <charset val="1"/>
    </font>
    <font>
      <b val="true"/>
      <sz val="11"/>
      <color rgb="FFD68910"/>
      <name val="Arial"/>
      <family val="0"/>
      <charset val="1"/>
    </font>
    <font>
      <b val="true"/>
      <sz val="11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355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55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557"/>
        <bgColor rgb="FF404040"/>
      </patternFill>
    </fill>
    <fill>
      <patternFill patternType="solid">
        <fgColor rgb="FF2E5C8A"/>
        <bgColor rgb="FF0D6E6E"/>
      </patternFill>
    </fill>
    <fill>
      <patternFill patternType="solid">
        <fgColor rgb="FFF5F5F5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D6E4F0"/>
        <bgColor rgb="FFD9D9D9"/>
      </patternFill>
    </fill>
    <fill>
      <patternFill patternType="solid">
        <fgColor rgb="FFF5DFA0"/>
        <bgColor rgb="FFD9D9D9"/>
      </patternFill>
    </fill>
    <fill>
      <patternFill patternType="solid">
        <fgColor rgb="FFE6F4EC"/>
        <bgColor rgb="FFE0F4F4"/>
      </patternFill>
    </fill>
    <fill>
      <patternFill patternType="solid">
        <fgColor rgb="FFB8860B"/>
        <bgColor rgb="FFD68910"/>
      </patternFill>
    </fill>
    <fill>
      <patternFill patternType="solid">
        <fgColor rgb="FFE0F4F4"/>
        <bgColor rgb="FFE6F4EC"/>
      </patternFill>
    </fill>
    <fill>
      <patternFill patternType="solid">
        <fgColor rgb="FFFFF8E7"/>
        <bgColor rgb="FFFEF9E7"/>
      </patternFill>
    </fill>
    <fill>
      <patternFill patternType="solid">
        <fgColor rgb="FFFEF9E7"/>
        <bgColor rgb="FFFFF8E7"/>
      </patternFill>
    </fill>
    <fill>
      <patternFill patternType="solid">
        <fgColor rgb="FF404040"/>
        <bgColor rgb="FF1A3557"/>
      </patternFill>
    </fill>
    <fill>
      <patternFill patternType="solid">
        <fgColor rgb="FFFDECEA"/>
        <bgColor rgb="FFF5F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85C1E9"/>
      </left>
      <right style="thin">
        <color rgb="FF85C1E9"/>
      </right>
      <top style="thin">
        <color rgb="FF85C1E9"/>
      </top>
      <bottom style="thin">
        <color rgb="FF85C1E9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6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5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B8860B"/>
      <rgbColor rgb="FF800080"/>
      <rgbColor rgb="FF0D6E6E"/>
      <rgbColor rgb="FFCCCCCC"/>
      <rgbColor rgb="FF888888"/>
      <rgbColor rgb="FF9999FF"/>
      <rgbColor rgb="FF993366"/>
      <rgbColor rgb="FFFEF9E7"/>
      <rgbColor rgb="FFE0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A6B3C"/>
      <rgbColor rgb="FF0000FF"/>
      <rgbColor rgb="FF00CCFF"/>
      <rgbColor rgb="FFE6F4EC"/>
      <rgbColor rgb="FFD6E4F0"/>
      <rgbColor rgb="FFFFF8E7"/>
      <rgbColor rgb="FF85C1E9"/>
      <rgbColor rgb="FFFDECEA"/>
      <rgbColor rgb="FFB3B3B3"/>
      <rgbColor rgb="FFF5DFA0"/>
      <rgbColor rgb="FF378ADD"/>
      <rgbColor rgb="FF33CCCC"/>
      <rgbColor rgb="FF99CC00"/>
      <rgbColor rgb="FFFFCC00"/>
      <rgbColor rgb="FFD68910"/>
      <rgbColor rgb="FFFF6600"/>
      <rgbColor rgb="FF666699"/>
      <rgbColor rgb="FFAAAAAA"/>
      <rgbColor rgb="FF1A3557"/>
      <rgbColor rgb="FF339966"/>
      <rgbColor rgb="FF003300"/>
      <rgbColor rgb="FF333300"/>
      <rgbColor rgb="FFA93226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Mortgage vs Cash — KPI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"Mortgage"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a9322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'🏦 Mortgage Calculator'!$C$62:$C$67</c:f>
              <c:strCache>
                <c:ptCount val="6"/>
                <c:pt idx="0">
                  <c:v>Gross Yield</c:v>
                </c:pt>
                <c:pt idx="1">
                  <c:v>Net Yield</c:v>
                </c:pt>
                <c:pt idx="2">
                  <c:v>Cash-on-Cash</c:v>
                </c:pt>
                <c:pt idx="3">
                  <c:v>ROI</c:v>
                </c:pt>
                <c:pt idx="4">
                  <c:v>ROE</c:v>
                </c:pt>
                <c:pt idx="5">
                  <c:v>Break-even Occ.</c:v>
                </c:pt>
              </c:strCache>
            </c:strRef>
          </c:cat>
          <c:val>
            <c:numRef>
              <c:f>'🏦 Mortgage Calculator'!$D$62:$D$67</c:f>
              <c:numCache>
                <c:formatCode>0.00%</c:formatCode>
                <c:ptCount val="6"/>
                <c:pt idx="0">
                  <c:v>0.0733333333333333</c:v>
                </c:pt>
                <c:pt idx="1">
                  <c:v>0.05</c:v>
                </c:pt>
                <c:pt idx="2">
                  <c:v>-0.0265963734298781</c:v>
                </c:pt>
                <c:pt idx="3">
                  <c:v>-0.00439658546320804</c:v>
                </c:pt>
                <c:pt idx="4">
                  <c:v>-0.035132922755088</c:v>
                </c:pt>
                <c:pt idx="5">
                  <c:v>1.04581706205933</c:v>
                </c:pt>
              </c:numCache>
            </c:numRef>
          </c:val>
        </c:ser>
        <c:ser>
          <c:idx val="1"/>
          <c:order val="1"/>
          <c:tx>
            <c:strRef>
              <c:f>"Cash"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1a6b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'🏦 Mortgage Calculator'!$C$62:$C$67</c:f>
              <c:strCache>
                <c:ptCount val="6"/>
                <c:pt idx="0">
                  <c:v>Gross Yield</c:v>
                </c:pt>
                <c:pt idx="1">
                  <c:v>Net Yield</c:v>
                </c:pt>
                <c:pt idx="2">
                  <c:v>Cash-on-Cash</c:v>
                </c:pt>
                <c:pt idx="3">
                  <c:v>ROI</c:v>
                </c:pt>
                <c:pt idx="4">
                  <c:v>ROE</c:v>
                </c:pt>
                <c:pt idx="5">
                  <c:v>Break-even Occ.</c:v>
                </c:pt>
              </c:strCache>
            </c:strRef>
          </c:cat>
          <c:val>
            <c:numRef>
              <c:f>'🏦 Mortgage Calculator'!$E$62:$E$67</c:f>
              <c:numCache>
                <c:formatCode>0.00%</c:formatCode>
                <c:ptCount val="6"/>
                <c:pt idx="0">
                  <c:v>0.0733333333333333</c:v>
                </c:pt>
                <c:pt idx="1">
                  <c:v>0.05</c:v>
                </c:pt>
                <c:pt idx="2">
                  <c:v>0.0445512820512821</c:v>
                </c:pt>
                <c:pt idx="3">
                  <c:v>0.0445512820512821</c:v>
                </c:pt>
                <c:pt idx="4">
                  <c:v>0.0463333333333333</c:v>
                </c:pt>
                <c:pt idx="5">
                  <c:v>0.318181818181818</c:v>
                </c:pt>
              </c:numCache>
            </c:numRef>
          </c:val>
        </c:ser>
        <c:gapWidth val="150"/>
        <c:overlap val="0"/>
        <c:axId val="2647780"/>
        <c:axId val="13470571"/>
      </c:barChart>
      <c:catAx>
        <c:axId val="2647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70571"/>
        <c:crosses val="autoZero"/>
        <c:auto val="1"/>
        <c:lblAlgn val="ctr"/>
        <c:lblOffset val="100"/>
        <c:noMultiLvlLbl val="0"/>
      </c:catAx>
      <c:valAx>
        <c:axId val="134705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7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10-Year Cash Flow &amp; Wealth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Cash Flow"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rgbClr val="378add"/>
            </a:solidFill>
            <a:ln w="21960">
              <a:solidFill>
                <a:srgbClr val="378a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Cash Flow Projection'!$C$9:$L$9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'📈 Cash Flow Projection'!$C$14:$L$14</c:f>
              <c:numCache>
                <c:formatCode>#,##0" AED";\(#,##0" AED)";\-</c:formatCode>
                <c:ptCount val="10"/>
                <c:pt idx="0">
                  <c:v>55500</c:v>
                </c:pt>
                <c:pt idx="1">
                  <c:v>57465</c:v>
                </c:pt>
                <c:pt idx="2">
                  <c:v>59494.95</c:v>
                </c:pt>
                <c:pt idx="3">
                  <c:v>61591.9185</c:v>
                </c:pt>
                <c:pt idx="4">
                  <c:v>63758.038455</c:v>
                </c:pt>
                <c:pt idx="5">
                  <c:v>65995.50925665</c:v>
                </c:pt>
                <c:pt idx="6">
                  <c:v>68306.5987753095</c:v>
                </c:pt>
                <c:pt idx="7">
                  <c:v>70693.645464348</c:v>
                </c:pt>
                <c:pt idx="8">
                  <c:v>73159.0605285733</c:v>
                </c:pt>
                <c:pt idx="9">
                  <c:v>75705.3301587311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"Cumulative Cash Flow"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solidFill>
              <a:srgbClr val="1a6b3c"/>
            </a:solidFill>
            <a:ln w="21960">
              <a:solidFill>
                <a:srgbClr val="1a6b3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Cash Flow Projection'!$C$9:$L$9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'📈 Cash Flow Projection'!$C$15:$L$15</c:f>
              <c:numCache>
                <c:formatCode>#,##0" AED";\(#,##0" AED)";\-</c:formatCode>
                <c:ptCount val="10"/>
                <c:pt idx="0">
                  <c:v>55500</c:v>
                </c:pt>
                <c:pt idx="1">
                  <c:v>112965</c:v>
                </c:pt>
                <c:pt idx="2">
                  <c:v>172459.95</c:v>
                </c:pt>
                <c:pt idx="3">
                  <c:v>234051.8685</c:v>
                </c:pt>
                <c:pt idx="4">
                  <c:v>297809.906955</c:v>
                </c:pt>
                <c:pt idx="5">
                  <c:v>363805.41621165</c:v>
                </c:pt>
                <c:pt idx="6">
                  <c:v>432112.01498696</c:v>
                </c:pt>
                <c:pt idx="7">
                  <c:v>502805.660451308</c:v>
                </c:pt>
                <c:pt idx="8">
                  <c:v>575964.720979881</c:v>
                </c:pt>
                <c:pt idx="9">
                  <c:v>651670.051138612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"Total Wealth"</c:f>
              <c:strCache>
                <c:ptCount val="1"/>
                <c:pt idx="0">
                  <c:v>Total Wealth</c:v>
                </c:pt>
              </c:strCache>
            </c:strRef>
          </c:tx>
          <c:spPr>
            <a:solidFill>
              <a:srgbClr val="b8860b"/>
            </a:solidFill>
            <a:ln w="28080">
              <a:solidFill>
                <a:srgbClr val="b8860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Cash Flow Projection'!$C$9:$L$9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'📈 Cash Flow Projection'!$C$17:$L$17</c:f>
              <c:numCache>
                <c:formatCode>#,##0" AED";\(#,##0" AED)";\-</c:formatCode>
                <c:ptCount val="10"/>
                <c:pt idx="0">
                  <c:v>115500</c:v>
                </c:pt>
                <c:pt idx="1">
                  <c:v>235965</c:v>
                </c:pt>
                <c:pt idx="2">
                  <c:v>361609.95</c:v>
                </c:pt>
                <c:pt idx="3">
                  <c:v>492659.3685</c:v>
                </c:pt>
                <c:pt idx="4">
                  <c:v>629347.781955</c:v>
                </c:pt>
                <c:pt idx="5">
                  <c:v>771920.18496165</c:v>
                </c:pt>
                <c:pt idx="6">
                  <c:v>920632.52217446</c:v>
                </c:pt>
                <c:pt idx="7">
                  <c:v>1075752.19299818</c:v>
                </c:pt>
                <c:pt idx="8">
                  <c:v>1237558.5801541</c:v>
                </c:pt>
                <c:pt idx="9">
                  <c:v>1406343.60327154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871494"/>
        <c:axId val="10372455"/>
      </c:lineChart>
      <c:catAx>
        <c:axId val="85871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72455"/>
        <c:crosses val="autoZero"/>
        <c:auto val="1"/>
        <c:lblAlgn val="ctr"/>
        <c:lblOffset val="100"/>
        <c:noMultiLvlLbl val="0"/>
      </c:catAx>
      <c:valAx>
        <c:axId val="103724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714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&amp; Net Yield by Property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"ROI"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KPI Dashboard'!$C$3:$G$3</c:f>
              <c:multiLvlStrCache>
                <c:ptCount val="1"/>
                <c:lvl>
                  <c:pt idx="0">
                    <c:v>Property 5</c:v>
                  </c:pt>
                </c:lvl>
                <c:lvl>
                  <c:pt idx="0">
                    <c:v>Property 4</c:v>
                  </c:pt>
                </c:lvl>
                <c:lvl>
                  <c:pt idx="0">
                    <c:v>Property 3</c:v>
                  </c:pt>
                </c:lvl>
                <c:lvl>
                  <c:pt idx="0">
                    <c:v>Property 2</c:v>
                  </c:pt>
                </c:lvl>
                <c:lvl>
                  <c:pt idx="0">
                    <c:v>Property 1</c:v>
                  </c:pt>
                </c:lvl>
              </c:multiLvlStrCache>
            </c:multiLvlStrRef>
          </c:cat>
          <c:val>
            <c:numRef>
              <c:f>'📊 KPI Dashboard'!$C$16:$G$16</c:f>
              <c:numCache>
                <c:formatCode>0.00%</c:formatCode>
                <c:ptCount val="5"/>
                <c:pt idx="0">
                  <c:v>0.0446682595111193</c:v>
                </c:pt>
                <c:pt idx="1">
                  <c:v>0.0446326053834434</c:v>
                </c:pt>
                <c:pt idx="2">
                  <c:v>0.0435349623265967</c:v>
                </c:pt>
                <c:pt idx="3">
                  <c:v>0.0437002794005588</c:v>
                </c:pt>
              </c:numCache>
            </c:numRef>
          </c:val>
        </c:ser>
        <c:ser>
          <c:idx val="1"/>
          <c:order val="1"/>
          <c:tx>
            <c:strRef>
              <c:f>"Net Yield"</c:f>
              <c:strCache>
                <c:ptCount val="1"/>
                <c:pt idx="0">
                  <c:v>Net Yield</c:v>
                </c:pt>
              </c:strCache>
            </c:strRef>
          </c:tx>
          <c:spPr>
            <a:solidFill>
              <a:srgbClr val="1a6b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KPI Dashboard'!$C$3:$G$3</c:f>
              <c:multiLvlStrCache>
                <c:ptCount val="1"/>
                <c:lvl>
                  <c:pt idx="0">
                    <c:v>Property 5</c:v>
                  </c:pt>
                </c:lvl>
                <c:lvl>
                  <c:pt idx="0">
                    <c:v>Property 4</c:v>
                  </c:pt>
                </c:lvl>
                <c:lvl>
                  <c:pt idx="0">
                    <c:v>Property 3</c:v>
                  </c:pt>
                </c:lvl>
                <c:lvl>
                  <c:pt idx="0">
                    <c:v>Property 2</c:v>
                  </c:pt>
                </c:lvl>
                <c:lvl>
                  <c:pt idx="0">
                    <c:v>Property 1</c:v>
                  </c:pt>
                </c:lvl>
              </c:multiLvlStrCache>
            </c:multiLvlStrRef>
          </c:cat>
          <c:val>
            <c:numRef>
              <c:f>'📊 KPI Dashboard'!$C$17:$G$17</c:f>
              <c:numCache>
                <c:formatCode>0.00%</c:formatCode>
                <c:ptCount val="5"/>
                <c:pt idx="0">
                  <c:v>0.048608</c:v>
                </c:pt>
                <c:pt idx="1">
                  <c:v>0.0488231111111111</c:v>
                </c:pt>
                <c:pt idx="2">
                  <c:v>0.0475569230769231</c:v>
                </c:pt>
                <c:pt idx="3">
                  <c:v>0.0477911111111111</c:v>
                </c:pt>
              </c:numCache>
            </c:numRef>
          </c:val>
        </c:ser>
        <c:gapWidth val="150"/>
        <c:overlap val="0"/>
        <c:axId val="33368368"/>
        <c:axId val="70813051"/>
      </c:barChart>
      <c:catAx>
        <c:axId val="33368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13051"/>
        <c:crosses val="autoZero"/>
        <c:auto val="1"/>
        <c:lblAlgn val="ctr"/>
        <c:lblOffset val="100"/>
        <c:noMultiLvlLbl val="0"/>
      </c:catAx>
      <c:valAx>
        <c:axId val="70813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68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69</xdr:row>
      <xdr:rowOff>0</xdr:rowOff>
    </xdr:from>
    <xdr:to>
      <xdr:col>7</xdr:col>
      <xdr:colOff>800640</xdr:colOff>
      <xdr:row>95</xdr:row>
      <xdr:rowOff>86760</xdr:rowOff>
    </xdr:to>
    <xdr:graphicFrame>
      <xdr:nvGraphicFramePr>
        <xdr:cNvPr id="0" name="Chart 1"/>
        <xdr:cNvGraphicFramePr/>
      </xdr:nvGraphicFramePr>
      <xdr:xfrm>
        <a:off x="423000" y="158688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10</xdr:col>
      <xdr:colOff>211320</xdr:colOff>
      <xdr:row>49</xdr:row>
      <xdr:rowOff>65160</xdr:rowOff>
    </xdr:to>
    <xdr:graphicFrame>
      <xdr:nvGraphicFramePr>
        <xdr:cNvPr id="1" name="Chart 1"/>
        <xdr:cNvGraphicFramePr/>
      </xdr:nvGraphicFramePr>
      <xdr:xfrm>
        <a:off x="281880" y="4971960"/>
        <a:ext cx="1007928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729720</xdr:colOff>
      <xdr:row>44</xdr:row>
      <xdr:rowOff>86400</xdr:rowOff>
    </xdr:to>
    <xdr:graphicFrame>
      <xdr:nvGraphicFramePr>
        <xdr:cNvPr id="2" name="Chart 1"/>
        <xdr:cNvGraphicFramePr/>
      </xdr:nvGraphicFramePr>
      <xdr:xfrm>
        <a:off x="281880" y="408636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557"/>
    <pageSetUpPr fitToPage="false"/>
  </sheetPr>
  <dimension ref="A1:I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"/>
    <col collapsed="false" customWidth="true" hidden="false" outlineLevel="0" max="3" min="3" style="1" width="32"/>
    <col collapsed="false" customWidth="true" hidden="false" outlineLevel="0" max="8" min="4" style="1" width="18"/>
    <col collapsed="false" customWidth="true" hidden="false" outlineLevel="0" max="9" min="9" style="1" width="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</row>
    <row r="5" customFormat="false" ht="19.5" hidden="false" customHeight="true" outlineLevel="0" collapsed="false">
      <c r="B5" s="8" t="s">
        <v>9</v>
      </c>
      <c r="C5" s="8"/>
      <c r="D5" s="8"/>
      <c r="E5" s="8"/>
      <c r="F5" s="8"/>
      <c r="G5" s="8"/>
      <c r="H5" s="8"/>
    </row>
    <row r="6" customFormat="false" ht="18" hidden="false" customHeight="true" outlineLevel="0" collapsed="false">
      <c r="B6" s="9" t="n">
        <v>1</v>
      </c>
      <c r="C6" s="10" t="s">
        <v>10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</row>
    <row r="7" customFormat="false" ht="18" hidden="false" customHeight="true" outlineLevel="0" collapsed="false">
      <c r="B7" s="9" t="n">
        <v>2</v>
      </c>
      <c r="C7" s="10" t="s">
        <v>11</v>
      </c>
      <c r="D7" s="11" t="s">
        <v>12</v>
      </c>
      <c r="E7" s="11" t="s">
        <v>13</v>
      </c>
      <c r="F7" s="11" t="s">
        <v>14</v>
      </c>
      <c r="G7" s="11" t="s">
        <v>15</v>
      </c>
      <c r="H7" s="11" t="s">
        <v>16</v>
      </c>
    </row>
    <row r="8" customFormat="false" ht="18" hidden="false" customHeight="true" outlineLevel="0" collapsed="false">
      <c r="B8" s="9" t="n">
        <v>3</v>
      </c>
      <c r="C8" s="10" t="s">
        <v>17</v>
      </c>
      <c r="D8" s="11" t="s">
        <v>18</v>
      </c>
      <c r="E8" s="11" t="s">
        <v>18</v>
      </c>
      <c r="F8" s="11" t="s">
        <v>18</v>
      </c>
      <c r="G8" s="11" t="s">
        <v>19</v>
      </c>
      <c r="H8" s="11" t="s">
        <v>18</v>
      </c>
    </row>
    <row r="9" customFormat="false" ht="18" hidden="false" customHeight="true" outlineLevel="0" collapsed="false">
      <c r="B9" s="9" t="n">
        <v>4</v>
      </c>
      <c r="C9" s="12" t="s">
        <v>20</v>
      </c>
      <c r="D9" s="13" t="n">
        <v>1</v>
      </c>
      <c r="E9" s="13" t="n">
        <v>2</v>
      </c>
      <c r="F9" s="13" t="n">
        <v>1</v>
      </c>
      <c r="G9" s="13" t="n">
        <v>4</v>
      </c>
      <c r="H9" s="13" t="n">
        <v>2</v>
      </c>
    </row>
    <row r="10" customFormat="false" ht="18" hidden="false" customHeight="true" outlineLevel="0" collapsed="false">
      <c r="B10" s="9" t="n">
        <v>5</v>
      </c>
      <c r="C10" s="12" t="s">
        <v>21</v>
      </c>
      <c r="D10" s="14" t="n">
        <v>650</v>
      </c>
      <c r="E10" s="14" t="n">
        <v>1100</v>
      </c>
      <c r="F10" s="14" t="n">
        <v>750</v>
      </c>
      <c r="G10" s="14" t="n">
        <v>3200</v>
      </c>
      <c r="H10" s="14" t="n">
        <v>900</v>
      </c>
    </row>
    <row r="11" customFormat="false" ht="18" hidden="false" customHeight="true" outlineLevel="0" collapsed="false">
      <c r="B11" s="9" t="n">
        <v>6</v>
      </c>
      <c r="C11" s="12" t="s">
        <v>22</v>
      </c>
      <c r="D11" s="15" t="n">
        <v>1200000</v>
      </c>
      <c r="E11" s="15" t="n">
        <v>2500000</v>
      </c>
      <c r="F11" s="15" t="n">
        <v>900000</v>
      </c>
      <c r="G11" s="15" t="n">
        <v>6500000</v>
      </c>
      <c r="H11" s="15" t="n">
        <v>1800000</v>
      </c>
    </row>
    <row r="12" customFormat="false" ht="18" hidden="false" customHeight="true" outlineLevel="0" collapsed="false">
      <c r="B12" s="9" t="n">
        <v>7</v>
      </c>
      <c r="C12" s="10" t="s">
        <v>23</v>
      </c>
      <c r="D12" s="16" t="n">
        <f aca="false">IFERROR($D$11/$D$10,"-")</f>
        <v>1846.15384615385</v>
      </c>
      <c r="E12" s="16" t="n">
        <f aca="false">IFERROR($E$11/$E$10,"-")</f>
        <v>2272.72727272727</v>
      </c>
      <c r="F12" s="16" t="n">
        <f aca="false">IFERROR($F$11/$F$10,"-")</f>
        <v>1200</v>
      </c>
      <c r="G12" s="16" t="n">
        <f aca="false">IFERROR($G$11/$G$10,"-")</f>
        <v>2031.25</v>
      </c>
      <c r="H12" s="16" t="n">
        <f aca="false">IFERROR($H$11/$H$10,"-")</f>
        <v>2000</v>
      </c>
    </row>
    <row r="13" customFormat="false" ht="19.5" hidden="false" customHeight="true" outlineLevel="0" collapsed="false">
      <c r="B13" s="17" t="s">
        <v>24</v>
      </c>
      <c r="C13" s="17"/>
      <c r="D13" s="17"/>
      <c r="E13" s="17"/>
      <c r="F13" s="17"/>
      <c r="G13" s="17"/>
      <c r="H13" s="17"/>
    </row>
    <row r="14" customFormat="false" ht="18" hidden="false" customHeight="true" outlineLevel="0" collapsed="false">
      <c r="B14" s="9" t="n">
        <v>8</v>
      </c>
      <c r="C14" s="12" t="s">
        <v>25</v>
      </c>
      <c r="D14" s="18" t="n">
        <v>0.04</v>
      </c>
      <c r="E14" s="18" t="n">
        <v>0.04</v>
      </c>
      <c r="F14" s="18" t="n">
        <v>0.04</v>
      </c>
      <c r="G14" s="18" t="n">
        <v>0.04</v>
      </c>
      <c r="H14" s="18" t="n">
        <v>0.04</v>
      </c>
    </row>
    <row r="15" customFormat="false" ht="18" hidden="false" customHeight="true" outlineLevel="0" collapsed="false">
      <c r="B15" s="9"/>
      <c r="C15" s="10" t="s">
        <v>26</v>
      </c>
      <c r="D15" s="19" t="n">
        <f aca="false">$D$11*$D$14</f>
        <v>48000</v>
      </c>
      <c r="E15" s="19" t="n">
        <f aca="false">$E$11*$E$14</f>
        <v>100000</v>
      </c>
      <c r="F15" s="19" t="n">
        <f aca="false">$F$11*$F$14</f>
        <v>36000</v>
      </c>
      <c r="G15" s="19" t="n">
        <f aca="false">$G$11*$G$14</f>
        <v>260000</v>
      </c>
      <c r="H15" s="19" t="n">
        <f aca="false">$H$11*$H$14</f>
        <v>72000</v>
      </c>
    </row>
    <row r="16" customFormat="false" ht="18" hidden="false" customHeight="true" outlineLevel="0" collapsed="false">
      <c r="B16" s="9" t="n">
        <v>9</v>
      </c>
      <c r="C16" s="12" t="s">
        <v>27</v>
      </c>
      <c r="D16" s="15" t="n">
        <v>4000</v>
      </c>
      <c r="E16" s="15" t="n">
        <v>4000</v>
      </c>
      <c r="F16" s="15" t="n">
        <v>4000</v>
      </c>
      <c r="G16" s="15" t="n">
        <v>4000</v>
      </c>
      <c r="H16" s="15" t="n">
        <v>4000</v>
      </c>
    </row>
    <row r="17" customFormat="false" ht="18" hidden="false" customHeight="true" outlineLevel="0" collapsed="false">
      <c r="B17" s="9" t="n">
        <v>10</v>
      </c>
      <c r="C17" s="12" t="s">
        <v>28</v>
      </c>
      <c r="D17" s="15" t="n">
        <v>3000</v>
      </c>
      <c r="E17" s="15" t="n">
        <v>3000</v>
      </c>
      <c r="F17" s="15" t="n">
        <v>3000</v>
      </c>
      <c r="G17" s="15" t="n">
        <v>3000</v>
      </c>
      <c r="H17" s="15" t="n">
        <v>3000</v>
      </c>
    </row>
    <row r="18" customFormat="false" ht="18" hidden="false" customHeight="true" outlineLevel="0" collapsed="false">
      <c r="B18" s="9" t="n">
        <v>11</v>
      </c>
      <c r="C18" s="12" t="s">
        <v>29</v>
      </c>
      <c r="D18" s="18" t="n">
        <v>0.02</v>
      </c>
      <c r="E18" s="18" t="n">
        <v>0.02</v>
      </c>
      <c r="F18" s="18" t="n">
        <v>0.02</v>
      </c>
      <c r="G18" s="18" t="n">
        <v>0.02</v>
      </c>
      <c r="H18" s="18" t="n">
        <v>0.02</v>
      </c>
    </row>
    <row r="19" customFormat="false" ht="18" hidden="false" customHeight="true" outlineLevel="0" collapsed="false">
      <c r="B19" s="9"/>
      <c r="C19" s="10" t="s">
        <v>30</v>
      </c>
      <c r="D19" s="19" t="n">
        <f aca="false">$D$11*$D$18</f>
        <v>24000</v>
      </c>
      <c r="E19" s="19" t="n">
        <f aca="false">$E$11*$E$18</f>
        <v>50000</v>
      </c>
      <c r="F19" s="19" t="n">
        <f aca="false">$F$11*$F$18</f>
        <v>18000</v>
      </c>
      <c r="G19" s="19" t="n">
        <f aca="false">$G$11*$G$18</f>
        <v>130000</v>
      </c>
      <c r="H19" s="19" t="n">
        <f aca="false">$H$11*$H$18</f>
        <v>36000</v>
      </c>
    </row>
    <row r="20" customFormat="false" ht="18" hidden="false" customHeight="true" outlineLevel="0" collapsed="false">
      <c r="B20" s="9" t="n">
        <v>12</v>
      </c>
      <c r="C20" s="12" t="s">
        <v>31</v>
      </c>
      <c r="D20" s="18" t="n">
        <v>0.0025</v>
      </c>
      <c r="E20" s="18" t="n">
        <v>0.0025</v>
      </c>
      <c r="F20" s="18" t="n">
        <v>0.0025</v>
      </c>
      <c r="G20" s="18" t="n">
        <v>0.0025</v>
      </c>
      <c r="H20" s="18" t="n">
        <v>0.0025</v>
      </c>
    </row>
    <row r="21" customFormat="false" ht="18" hidden="false" customHeight="true" outlineLevel="0" collapsed="false">
      <c r="B21" s="9" t="n">
        <v>13</v>
      </c>
      <c r="C21" s="12" t="s">
        <v>32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</row>
    <row r="22" customFormat="false" ht="18" hidden="false" customHeight="true" outlineLevel="0" collapsed="false">
      <c r="B22" s="9"/>
      <c r="C22" s="10" t="s">
        <v>33</v>
      </c>
      <c r="D22" s="19" t="n">
        <f aca="false">$D$21*$D$20</f>
        <v>0</v>
      </c>
      <c r="E22" s="19" t="n">
        <f aca="false">$E$21*$E$20</f>
        <v>0</v>
      </c>
      <c r="F22" s="19" t="n">
        <f aca="false">$F$21*$F$20</f>
        <v>0</v>
      </c>
      <c r="G22" s="19" t="n">
        <f aca="false">$G$21*$G$20</f>
        <v>0</v>
      </c>
      <c r="H22" s="19" t="n">
        <f aca="false">$H$21*$H$20</f>
        <v>0</v>
      </c>
    </row>
    <row r="23" customFormat="false" ht="18" hidden="false" customHeight="true" outlineLevel="0" collapsed="false">
      <c r="B23" s="9" t="n">
        <v>14</v>
      </c>
      <c r="C23" s="12" t="s">
        <v>34</v>
      </c>
      <c r="D23" s="15" t="n">
        <v>3500</v>
      </c>
      <c r="E23" s="15" t="n">
        <v>3500</v>
      </c>
      <c r="F23" s="15" t="n">
        <v>3500</v>
      </c>
      <c r="G23" s="15" t="n">
        <v>3500</v>
      </c>
      <c r="H23" s="15" t="n">
        <v>3500</v>
      </c>
    </row>
    <row r="24" customFormat="false" ht="18" hidden="false" customHeight="true" outlineLevel="0" collapsed="false">
      <c r="B24" s="9" t="n">
        <v>15</v>
      </c>
      <c r="C24" s="12" t="s">
        <v>35</v>
      </c>
      <c r="D24" s="15" t="n">
        <v>30000</v>
      </c>
      <c r="E24" s="15" t="n">
        <v>60000</v>
      </c>
      <c r="F24" s="15" t="n">
        <v>20000</v>
      </c>
      <c r="G24" s="15" t="n">
        <v>200000</v>
      </c>
      <c r="H24" s="15" t="n">
        <v>50000</v>
      </c>
    </row>
    <row r="25" customFormat="false" ht="18" hidden="false" customHeight="true" outlineLevel="0" collapsed="false">
      <c r="B25" s="9" t="n">
        <v>16</v>
      </c>
      <c r="C25" s="12" t="s">
        <v>36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</row>
    <row r="26" customFormat="false" ht="18" hidden="false" customHeight="true" outlineLevel="0" collapsed="false">
      <c r="B26" s="9" t="s">
        <v>37</v>
      </c>
      <c r="C26" s="20" t="s">
        <v>38</v>
      </c>
      <c r="D26" s="21" t="n">
        <f aca="false">$D$15+$D$16+$D$17+$D$19+$D$22+$D$23+$D$24+$D$25</f>
        <v>112500</v>
      </c>
      <c r="E26" s="21" t="n">
        <f aca="false">$E$15+$E$16+$E$17+$E$19+$E$22+$E$23+$E$24+$E$25</f>
        <v>220500</v>
      </c>
      <c r="F26" s="21" t="n">
        <f aca="false">$F$15+$F$16+$F$17+$F$19+$F$22+$F$23+$F$24+$F$25</f>
        <v>84500</v>
      </c>
      <c r="G26" s="21" t="n">
        <f aca="false">$G$15+$G$16+$G$17+$G$19+$G$22+$G$23+$G$24+$G$25</f>
        <v>600500</v>
      </c>
      <c r="H26" s="21" t="n">
        <f aca="false">$H$15+$H$16+$H$17+$H$19+$H$22+$H$23+$H$24+$H$25</f>
        <v>168500</v>
      </c>
    </row>
    <row r="27" customFormat="false" ht="18" hidden="false" customHeight="true" outlineLevel="0" collapsed="false">
      <c r="B27" s="9" t="s">
        <v>37</v>
      </c>
      <c r="C27" s="22" t="s">
        <v>39</v>
      </c>
      <c r="D27" s="23" t="n">
        <f aca="false">$D$11+$D$26</f>
        <v>1312500</v>
      </c>
      <c r="E27" s="23" t="n">
        <f aca="false">$E$11+$E$26</f>
        <v>2720500</v>
      </c>
      <c r="F27" s="23" t="n">
        <f aca="false">$F$11+$F$26</f>
        <v>984500</v>
      </c>
      <c r="G27" s="23" t="n">
        <f aca="false">$G$11+$G$26</f>
        <v>7100500</v>
      </c>
      <c r="H27" s="23" t="n">
        <f aca="false">$H$11+$H$26</f>
        <v>1968500</v>
      </c>
    </row>
    <row r="28" customFormat="false" ht="18" hidden="false" customHeight="true" outlineLevel="0" collapsed="false">
      <c r="B28" s="9" t="n">
        <v>17</v>
      </c>
      <c r="C28" s="12" t="s">
        <v>40</v>
      </c>
      <c r="D28" s="15" t="n">
        <f aca="false">$D$11-$D$21</f>
        <v>1200000</v>
      </c>
      <c r="E28" s="15" t="n">
        <f aca="false">$E$11-$E$21</f>
        <v>2500000</v>
      </c>
      <c r="F28" s="15" t="n">
        <f aca="false">$F$11-$F$21</f>
        <v>900000</v>
      </c>
      <c r="G28" s="15" t="n">
        <f aca="false">$G$11-$G$21</f>
        <v>6500000</v>
      </c>
      <c r="H28" s="15" t="n">
        <f aca="false">$H$11-$H$21</f>
        <v>1800000</v>
      </c>
    </row>
    <row r="29" customFormat="false" ht="19.5" hidden="false" customHeight="true" outlineLevel="0" collapsed="false">
      <c r="B29" s="17" t="s">
        <v>41</v>
      </c>
      <c r="C29" s="17"/>
      <c r="D29" s="17"/>
      <c r="E29" s="17"/>
      <c r="F29" s="17"/>
      <c r="G29" s="17"/>
      <c r="H29" s="17"/>
    </row>
    <row r="30" customFormat="false" ht="18" hidden="false" customHeight="true" outlineLevel="0" collapsed="false">
      <c r="B30" s="9" t="n">
        <v>18</v>
      </c>
      <c r="C30" s="12" t="s">
        <v>42</v>
      </c>
      <c r="D30" s="24" t="n">
        <v>15</v>
      </c>
      <c r="E30" s="24" t="n">
        <v>18</v>
      </c>
      <c r="F30" s="24" t="n">
        <v>12</v>
      </c>
      <c r="G30" s="24" t="n">
        <v>22</v>
      </c>
      <c r="H30" s="24" t="n">
        <v>16</v>
      </c>
    </row>
    <row r="31" customFormat="false" ht="18" hidden="false" customHeight="true" outlineLevel="0" collapsed="false">
      <c r="B31" s="9"/>
      <c r="C31" s="10" t="s">
        <v>43</v>
      </c>
      <c r="D31" s="19" t="n">
        <f aca="false">$D$30*$D$10</f>
        <v>9750</v>
      </c>
      <c r="E31" s="19" t="n">
        <f aca="false">$E$30*$E$10</f>
        <v>19800</v>
      </c>
      <c r="F31" s="19" t="n">
        <f aca="false">$F$30*$F$10</f>
        <v>9000</v>
      </c>
      <c r="G31" s="19" t="n">
        <f aca="false">$G$30*$G$10</f>
        <v>70400</v>
      </c>
      <c r="H31" s="19" t="n">
        <f aca="false">$H$30*$H$10</f>
        <v>14400</v>
      </c>
    </row>
    <row r="32" customFormat="false" ht="18" hidden="false" customHeight="true" outlineLevel="0" collapsed="false">
      <c r="B32" s="9" t="n">
        <v>19</v>
      </c>
      <c r="C32" s="12" t="s">
        <v>44</v>
      </c>
      <c r="D32" s="18" t="n">
        <v>0.08</v>
      </c>
      <c r="E32" s="18" t="n">
        <v>0.08</v>
      </c>
      <c r="F32" s="18" t="n">
        <v>0.08</v>
      </c>
      <c r="G32" s="18" t="n">
        <v>0.08</v>
      </c>
      <c r="H32" s="18" t="n">
        <v>0.08</v>
      </c>
    </row>
    <row r="33" customFormat="false" ht="18" hidden="false" customHeight="true" outlineLevel="0" collapsed="false">
      <c r="B33" s="9" t="n">
        <v>20</v>
      </c>
      <c r="C33" s="12" t="s">
        <v>45</v>
      </c>
      <c r="D33" s="15" t="n">
        <v>5000</v>
      </c>
      <c r="E33" s="15" t="n">
        <v>8000</v>
      </c>
      <c r="F33" s="15" t="n">
        <v>4000</v>
      </c>
      <c r="G33" s="15" t="n">
        <v>25000</v>
      </c>
      <c r="H33" s="15" t="n">
        <v>6000</v>
      </c>
    </row>
    <row r="34" customFormat="false" ht="18" hidden="false" customHeight="true" outlineLevel="0" collapsed="false">
      <c r="B34" s="9" t="n">
        <v>21</v>
      </c>
      <c r="C34" s="12" t="s">
        <v>46</v>
      </c>
      <c r="D34" s="15" t="n">
        <v>5000</v>
      </c>
      <c r="E34" s="15" t="n">
        <v>8000</v>
      </c>
      <c r="F34" s="15" t="n">
        <v>4000</v>
      </c>
      <c r="G34" s="15" t="n">
        <v>15000</v>
      </c>
      <c r="H34" s="15" t="n">
        <v>6000</v>
      </c>
    </row>
    <row r="35" customFormat="false" ht="18" hidden="false" customHeight="true" outlineLevel="0" collapsed="false">
      <c r="B35" s="9" t="n">
        <v>22</v>
      </c>
      <c r="C35" s="12" t="s">
        <v>47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</row>
    <row r="36" customFormat="false" ht="18" hidden="false" customHeight="true" outlineLevel="0" collapsed="false">
      <c r="B36" s="9" t="n">
        <v>23</v>
      </c>
      <c r="C36" s="12" t="s">
        <v>48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</row>
    <row r="37" customFormat="false" ht="18" hidden="false" customHeight="true" outlineLevel="0" collapsed="false">
      <c r="B37" s="9" t="n">
        <v>24</v>
      </c>
      <c r="C37" s="12" t="s">
        <v>49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</row>
    <row r="38" customFormat="false" ht="18" hidden="false" customHeight="true" outlineLevel="0" collapsed="false">
      <c r="B38" s="9" t="s">
        <v>37</v>
      </c>
      <c r="C38" s="20" t="s">
        <v>50</v>
      </c>
      <c r="D38" s="21" t="n">
        <f aca="false">$D$31+$D$33+$D$34+$D$35+$D$36+$D$37</f>
        <v>19750</v>
      </c>
      <c r="E38" s="21" t="n">
        <f aca="false">$E$31+$E$33+$E$34+$E$35+$E$36+$E$37</f>
        <v>35800</v>
      </c>
      <c r="F38" s="21" t="n">
        <f aca="false">$F$31+$F$33+$F$34+$F$35+$F$36+$F$37</f>
        <v>17000</v>
      </c>
      <c r="G38" s="21" t="n">
        <f aca="false">$G$31+$G$33+$G$34+$G$35+$G$36+$G$37</f>
        <v>110400</v>
      </c>
      <c r="H38" s="21" t="n">
        <f aca="false">$H$31+$H$33+$H$34+$H$35+$H$36+$H$37</f>
        <v>26400</v>
      </c>
    </row>
    <row r="39" customFormat="false" ht="19.5" hidden="false" customHeight="true" outlineLevel="0" collapsed="false">
      <c r="B39" s="17" t="s">
        <v>51</v>
      </c>
      <c r="C39" s="17"/>
      <c r="D39" s="17"/>
      <c r="E39" s="17"/>
      <c r="F39" s="17"/>
      <c r="G39" s="17"/>
      <c r="H39" s="17"/>
    </row>
    <row r="40" customFormat="false" ht="18" hidden="false" customHeight="true" outlineLevel="0" collapsed="false">
      <c r="B40" s="9" t="n">
        <v>25</v>
      </c>
      <c r="C40" s="12" t="s">
        <v>52</v>
      </c>
      <c r="D40" s="15" t="n">
        <v>90000</v>
      </c>
      <c r="E40" s="15" t="n">
        <v>180000</v>
      </c>
      <c r="F40" s="15" t="n">
        <v>72000</v>
      </c>
      <c r="G40" s="15" t="n">
        <v>480000</v>
      </c>
      <c r="H40" s="15" t="n">
        <v>130000</v>
      </c>
    </row>
    <row r="41" customFormat="false" ht="18" hidden="false" customHeight="true" outlineLevel="0" collapsed="false">
      <c r="B41" s="9" t="n">
        <v>26</v>
      </c>
      <c r="C41" s="12" t="s">
        <v>53</v>
      </c>
      <c r="D41" s="18" t="n">
        <v>0.05</v>
      </c>
      <c r="E41" s="18" t="n">
        <v>0.05</v>
      </c>
      <c r="F41" s="18" t="n">
        <v>0.08</v>
      </c>
      <c r="G41" s="18" t="n">
        <v>0.05</v>
      </c>
      <c r="H41" s="18" t="n">
        <v>0.06</v>
      </c>
    </row>
    <row r="42" customFormat="false" ht="18" hidden="false" customHeight="true" outlineLevel="0" collapsed="false">
      <c r="B42" s="9"/>
      <c r="C42" s="10" t="s">
        <v>54</v>
      </c>
      <c r="D42" s="19" t="n">
        <f aca="false">$D$40*(1-$D$41)</f>
        <v>85500</v>
      </c>
      <c r="E42" s="19" t="n">
        <f aca="false">$E$40*(1-$E$41)</f>
        <v>171000</v>
      </c>
      <c r="F42" s="19" t="n">
        <f aca="false">$F$40*(1-$F$41)</f>
        <v>66240</v>
      </c>
      <c r="G42" s="19" t="n">
        <f aca="false">$G$40*(1-$G$41)</f>
        <v>456000</v>
      </c>
      <c r="H42" s="19" t="n">
        <f aca="false">$H$40*(1-$H$41)</f>
        <v>122200</v>
      </c>
    </row>
    <row r="43" customFormat="false" ht="18" hidden="false" customHeight="true" outlineLevel="0" collapsed="false">
      <c r="B43" s="9"/>
      <c r="C43" s="10" t="s">
        <v>55</v>
      </c>
      <c r="D43" s="19" t="n">
        <f aca="false">$D$42*$D$32</f>
        <v>6840</v>
      </c>
      <c r="E43" s="19" t="n">
        <f aca="false">$E$42*$E$32</f>
        <v>13680</v>
      </c>
      <c r="F43" s="19" t="n">
        <f aca="false">$F$42*$F$32</f>
        <v>5299.2</v>
      </c>
      <c r="G43" s="19" t="n">
        <f aca="false">$G$42*$G$32</f>
        <v>36480</v>
      </c>
      <c r="H43" s="19" t="n">
        <f aca="false">$H$42*$H$32</f>
        <v>9776</v>
      </c>
    </row>
    <row r="44" customFormat="false" ht="18" hidden="false" customHeight="true" outlineLevel="0" collapsed="false">
      <c r="B44" s="9" t="s">
        <v>37</v>
      </c>
      <c r="C44" s="25" t="s">
        <v>56</v>
      </c>
      <c r="D44" s="26" t="n">
        <f aca="false">$D$42-$D$43</f>
        <v>78660</v>
      </c>
      <c r="E44" s="26" t="n">
        <f aca="false">$E$42-$E$43</f>
        <v>157320</v>
      </c>
      <c r="F44" s="26" t="n">
        <f aca="false">$F$42-$F$43</f>
        <v>60940.8</v>
      </c>
      <c r="G44" s="26" t="n">
        <f aca="false">$G$42-$G$43</f>
        <v>419520</v>
      </c>
      <c r="H44" s="26" t="n">
        <f aca="false">$H$42-$H$43</f>
        <v>112424</v>
      </c>
    </row>
    <row r="45" customFormat="false" ht="19.5" hidden="false" customHeight="true" outlineLevel="0" collapsed="false">
      <c r="B45" s="27" t="s">
        <v>57</v>
      </c>
      <c r="C45" s="27"/>
      <c r="D45" s="27"/>
      <c r="E45" s="27"/>
      <c r="F45" s="27"/>
      <c r="G45" s="27"/>
      <c r="H45" s="27"/>
    </row>
    <row r="46" customFormat="false" ht="18" hidden="false" customHeight="true" outlineLevel="0" collapsed="false">
      <c r="B46" s="9" t="s">
        <v>58</v>
      </c>
      <c r="C46" s="28" t="s">
        <v>59</v>
      </c>
      <c r="D46" s="29" t="n">
        <f aca="false">IFERROR($D$40/$D$11,0)</f>
        <v>0.075</v>
      </c>
      <c r="E46" s="29" t="n">
        <f aca="false">IFERROR($E$40/$E$11,0)</f>
        <v>0.072</v>
      </c>
      <c r="F46" s="29" t="n">
        <f aca="false">IFERROR($F$40/$F$11,0)</f>
        <v>0.08</v>
      </c>
      <c r="G46" s="29" t="n">
        <f aca="false">IFERROR($G$40/$G$11,0)</f>
        <v>0.0738461538461539</v>
      </c>
      <c r="H46" s="29" t="n">
        <f aca="false">IFERROR($H$40/$H$11,0)</f>
        <v>0.0722222222222222</v>
      </c>
    </row>
    <row r="47" customFormat="false" ht="18" hidden="false" customHeight="true" outlineLevel="0" collapsed="false">
      <c r="B47" s="9" t="s">
        <v>60</v>
      </c>
      <c r="C47" s="28" t="s">
        <v>61</v>
      </c>
      <c r="D47" s="29" t="n">
        <f aca="false">IFERROR(($D$44-$D$38)/$D$11,0)</f>
        <v>0.0490916666666667</v>
      </c>
      <c r="E47" s="29" t="n">
        <f aca="false">IFERROR(($E$44-$E$38)/$E$11,0)</f>
        <v>0.048608</v>
      </c>
      <c r="F47" s="29" t="n">
        <f aca="false">IFERROR(($F$44-$F$38)/$F$11,0)</f>
        <v>0.0488231111111111</v>
      </c>
      <c r="G47" s="29" t="n">
        <f aca="false">IFERROR(($G$44-$G$38)/$G$11,0)</f>
        <v>0.0475569230769231</v>
      </c>
      <c r="H47" s="29" t="n">
        <f aca="false">IFERROR(($H$44-$H$38)/$H$11,0)</f>
        <v>0.0477911111111111</v>
      </c>
    </row>
    <row r="48" customFormat="false" ht="18" hidden="false" customHeight="true" outlineLevel="0" collapsed="false">
      <c r="B48" s="9" t="s">
        <v>62</v>
      </c>
      <c r="C48" s="30" t="s">
        <v>63</v>
      </c>
      <c r="D48" s="31" t="n">
        <f aca="false">IFERROR(($D$44-$D$38)/$D$27,0)</f>
        <v>0.0448838095238095</v>
      </c>
      <c r="E48" s="31" t="n">
        <f aca="false">IFERROR(($E$44-$E$38)/$E$27,0)</f>
        <v>0.0446682595111193</v>
      </c>
      <c r="F48" s="31" t="n">
        <f aca="false">IFERROR(($F$44-$F$38)/$F$27,0)</f>
        <v>0.0446326053834434</v>
      </c>
      <c r="G48" s="31" t="n">
        <f aca="false">IFERROR(($G$44-$G$38)/$G$27,0)</f>
        <v>0.0435349623265967</v>
      </c>
      <c r="H48" s="31" t="n">
        <f aca="false">IFERROR(($H$44-$H$38)/$H$27,0)</f>
        <v>0.0437002794005588</v>
      </c>
    </row>
    <row r="49" customFormat="false" ht="18" hidden="false" customHeight="true" outlineLevel="0" collapsed="false">
      <c r="B49" s="9" t="s">
        <v>64</v>
      </c>
      <c r="C49" s="30" t="s">
        <v>65</v>
      </c>
      <c r="D49" s="31" t="n">
        <f aca="false">IFERROR(($D$44-$D$38)/$D$28,0)</f>
        <v>0.0490916666666667</v>
      </c>
      <c r="E49" s="31" t="n">
        <f aca="false">IFERROR(($E$44-$E$38)/$E$28,0)</f>
        <v>0.048608</v>
      </c>
      <c r="F49" s="31" t="n">
        <f aca="false">IFERROR(($F$44-$F$38)/$F$28,0)</f>
        <v>0.0488231111111111</v>
      </c>
      <c r="G49" s="31" t="n">
        <f aca="false">IFERROR(($G$44-$G$38)/$G$28,0)</f>
        <v>0.0475569230769231</v>
      </c>
      <c r="H49" s="31" t="n">
        <f aca="false">IFERROR(($H$44-$H$38)/$H$28,0)</f>
        <v>0.0477911111111111</v>
      </c>
    </row>
    <row r="50" customFormat="false" ht="18" hidden="false" customHeight="true" outlineLevel="0" collapsed="false">
      <c r="B50" s="9" t="s">
        <v>66</v>
      </c>
      <c r="C50" s="25" t="s">
        <v>67</v>
      </c>
      <c r="D50" s="26" t="n">
        <f aca="false">$D$44-$D$38</f>
        <v>58910</v>
      </c>
      <c r="E50" s="26" t="n">
        <f aca="false">$E$44-$E$38</f>
        <v>121520</v>
      </c>
      <c r="F50" s="26" t="n">
        <f aca="false">$F$44-$F$38</f>
        <v>43940.8</v>
      </c>
      <c r="G50" s="26" t="n">
        <f aca="false">$G$44-$G$38</f>
        <v>309120</v>
      </c>
      <c r="H50" s="26" t="n">
        <f aca="false">$H$44-$H$38</f>
        <v>86024</v>
      </c>
    </row>
    <row r="51" customFormat="false" ht="18" hidden="false" customHeight="true" outlineLevel="0" collapsed="false">
      <c r="B51" s="9" t="s">
        <v>68</v>
      </c>
      <c r="C51" s="32" t="s">
        <v>69</v>
      </c>
      <c r="D51" s="33" t="n">
        <f aca="false">$D$50/12</f>
        <v>4909.16666666667</v>
      </c>
      <c r="E51" s="33" t="n">
        <f aca="false">$E$50/12</f>
        <v>10126.6666666667</v>
      </c>
      <c r="F51" s="33" t="n">
        <f aca="false">$F$50/12</f>
        <v>3661.73333333333</v>
      </c>
      <c r="G51" s="33" t="n">
        <f aca="false">$G$50/12</f>
        <v>25760</v>
      </c>
      <c r="H51" s="33" t="n">
        <f aca="false">$H$50/12</f>
        <v>7168.66666666667</v>
      </c>
    </row>
    <row r="52" customFormat="false" ht="18" hidden="false" customHeight="true" outlineLevel="0" collapsed="false">
      <c r="B52" s="9" t="s">
        <v>70</v>
      </c>
      <c r="C52" s="34" t="s">
        <v>71</v>
      </c>
      <c r="D52" s="35" t="n">
        <f aca="false">IFERROR($D$27/$D$50,"-")</f>
        <v>22.2797487693091</v>
      </c>
      <c r="E52" s="35" t="n">
        <f aca="false">IFERROR($E$27/$E$50,"-")</f>
        <v>22.3872613561554</v>
      </c>
      <c r="F52" s="35" t="n">
        <f aca="false">IFERROR($F$27/$F$50,"-")</f>
        <v>22.4051451043222</v>
      </c>
      <c r="G52" s="35" t="n">
        <f aca="false">IFERROR($G$27/$G$50,"-")</f>
        <v>22.9700439958592</v>
      </c>
      <c r="H52" s="35" t="n">
        <f aca="false">IFERROR($H$27/$H$50,"-")</f>
        <v>22.8831488886822</v>
      </c>
    </row>
    <row r="53" customFormat="false" ht="19.5" hidden="false" customHeight="true" outlineLevel="0" collapsed="false">
      <c r="B53" s="17" t="s">
        <v>72</v>
      </c>
      <c r="C53" s="17"/>
      <c r="D53" s="17"/>
      <c r="E53" s="17"/>
      <c r="F53" s="17"/>
      <c r="G53" s="17"/>
      <c r="H53" s="17"/>
    </row>
    <row r="54" customFormat="false" ht="18" hidden="false" customHeight="true" outlineLevel="0" collapsed="false">
      <c r="B54" s="9" t="n">
        <v>30</v>
      </c>
      <c r="C54" s="12" t="s">
        <v>73</v>
      </c>
      <c r="D54" s="18" t="n">
        <v>0.05</v>
      </c>
      <c r="E54" s="18" t="n">
        <v>0.06</v>
      </c>
      <c r="F54" s="18" t="n">
        <v>0.07</v>
      </c>
      <c r="G54" s="18" t="n">
        <v>0.05</v>
      </c>
      <c r="H54" s="18" t="n">
        <v>0.06</v>
      </c>
    </row>
    <row r="55" customFormat="false" ht="18" hidden="false" customHeight="true" outlineLevel="0" collapsed="false">
      <c r="B55" s="9" t="n">
        <v>31</v>
      </c>
      <c r="C55" s="12" t="s">
        <v>74</v>
      </c>
      <c r="D55" s="36" t="n">
        <v>5</v>
      </c>
      <c r="E55" s="36" t="n">
        <v>5</v>
      </c>
      <c r="F55" s="36" t="n">
        <v>5</v>
      </c>
      <c r="G55" s="36" t="n">
        <v>5</v>
      </c>
      <c r="H55" s="36" t="n">
        <v>5</v>
      </c>
    </row>
    <row r="56" customFormat="false" ht="18" hidden="false" customHeight="true" outlineLevel="0" collapsed="false">
      <c r="B56" s="9" t="s">
        <v>75</v>
      </c>
      <c r="C56" s="37" t="s">
        <v>76</v>
      </c>
      <c r="D56" s="38" t="n">
        <f aca="false">$D$11*POWER(1+$D$54,$D$55)</f>
        <v>1531537.875</v>
      </c>
      <c r="E56" s="38" t="n">
        <f aca="false">$E$11*POWER(1+$E$54,$E$55)</f>
        <v>3345563.944</v>
      </c>
      <c r="F56" s="38" t="n">
        <f aca="false">$F$11*POWER(1+$F$54,$F$55)</f>
        <v>1262296.55763</v>
      </c>
      <c r="G56" s="38" t="n">
        <f aca="false">$G$11*POWER(1+$G$54,$G$55)</f>
        <v>8295830.15625</v>
      </c>
      <c r="H56" s="38" t="n">
        <f aca="false">$H$11*POWER(1+$H$54,$H$55)</f>
        <v>2408806.03968</v>
      </c>
    </row>
    <row r="57" customFormat="false" ht="18" hidden="false" customHeight="true" outlineLevel="0" collapsed="false">
      <c r="B57" s="9" t="s">
        <v>77</v>
      </c>
      <c r="C57" s="32" t="s">
        <v>78</v>
      </c>
      <c r="D57" s="33" t="n">
        <f aca="false">$D$56-$D$11</f>
        <v>331537.875</v>
      </c>
      <c r="E57" s="33" t="n">
        <f aca="false">$E$56-$E$11</f>
        <v>845563.944000001</v>
      </c>
      <c r="F57" s="33" t="n">
        <f aca="false">$F$56-$F$11</f>
        <v>362296.55763</v>
      </c>
      <c r="G57" s="33" t="n">
        <f aca="false">$G$56-$G$11</f>
        <v>1795830.15625</v>
      </c>
      <c r="H57" s="33" t="n">
        <f aca="false">$H$56-$H$11</f>
        <v>608806.03968</v>
      </c>
    </row>
    <row r="58" customFormat="false" ht="18" hidden="false" customHeight="true" outlineLevel="0" collapsed="false">
      <c r="B58" s="9" t="s">
        <v>79</v>
      </c>
      <c r="C58" s="30" t="s">
        <v>80</v>
      </c>
      <c r="D58" s="39" t="n">
        <f aca="false">($D$50*$D$55)+$D$57</f>
        <v>626087.875000001</v>
      </c>
      <c r="E58" s="39" t="n">
        <f aca="false">($E$50*$E$55)+$E$57</f>
        <v>1453163.944</v>
      </c>
      <c r="F58" s="39" t="n">
        <f aca="false">($F$50*$F$55)+$F$57</f>
        <v>582000.55763</v>
      </c>
      <c r="G58" s="39" t="n">
        <f aca="false">($G$50*$G$55)+$G$57</f>
        <v>3341430.15625</v>
      </c>
      <c r="H58" s="39" t="n">
        <f aca="false">($H$50*$H$55)+$H$57</f>
        <v>1038926.03968</v>
      </c>
    </row>
    <row r="59" customFormat="false" ht="18" hidden="false" customHeight="true" outlineLevel="0" collapsed="false">
      <c r="B59" s="9" t="s">
        <v>81</v>
      </c>
      <c r="C59" s="30" t="s">
        <v>82</v>
      </c>
      <c r="D59" s="31" t="n">
        <f aca="false">IFERROR(($D$58/$D$27)/IFERROR($D$55,1),0)</f>
        <v>0.0954038666666667</v>
      </c>
      <c r="E59" s="31" t="n">
        <f aca="false">IFERROR(($E$58/$E$27)/IFERROR($E$55,1),0)</f>
        <v>0.106830652012498</v>
      </c>
      <c r="F59" s="31" t="n">
        <f aca="false">IFERROR(($F$58/$F$27)/IFERROR($F$55,1),0)</f>
        <v>0.118232718665312</v>
      </c>
      <c r="G59" s="31" t="n">
        <f aca="false">IFERROR(($G$58/$G$27)/IFERROR($G$55,1),0)</f>
        <v>0.0941181650940075</v>
      </c>
      <c r="H59" s="31" t="n">
        <f aca="false">IFERROR(($H$58/$H$27)/IFERROR($H$55,1),0)</f>
        <v>0.105555096741682</v>
      </c>
    </row>
    <row r="60" customFormat="false" ht="19.5" hidden="false" customHeight="true" outlineLevel="0" collapsed="false">
      <c r="B60" s="17" t="s">
        <v>83</v>
      </c>
      <c r="C60" s="17"/>
      <c r="D60" s="17"/>
      <c r="E60" s="17"/>
      <c r="F60" s="17"/>
      <c r="G60" s="17"/>
      <c r="H60" s="17"/>
    </row>
    <row r="61" customFormat="false" ht="18" hidden="false" customHeight="true" outlineLevel="0" collapsed="false">
      <c r="B61" s="9" t="s">
        <v>84</v>
      </c>
      <c r="C61" s="10" t="s">
        <v>85</v>
      </c>
      <c r="D61" s="16" t="n">
        <f aca="false">IFERROR($D$11/$D$10,0)</f>
        <v>1846.15384615385</v>
      </c>
      <c r="E61" s="16" t="n">
        <f aca="false">IFERROR($E$11/$E$10,0)</f>
        <v>2272.72727272727</v>
      </c>
      <c r="F61" s="16" t="n">
        <f aca="false">IFERROR($F$11/$F$10,0)</f>
        <v>1200</v>
      </c>
      <c r="G61" s="16" t="n">
        <f aca="false">IFERROR($G$11/$G$10,0)</f>
        <v>2031.25</v>
      </c>
      <c r="H61" s="16" t="n">
        <f aca="false">IFERROR($H$11/$H$10,0)</f>
        <v>2000</v>
      </c>
    </row>
    <row r="62" customFormat="false" ht="18" hidden="false" customHeight="true" outlineLevel="0" collapsed="false">
      <c r="B62" s="9" t="s">
        <v>86</v>
      </c>
      <c r="C62" s="10" t="s">
        <v>87</v>
      </c>
      <c r="D62" s="16" t="n">
        <f aca="false">IFERROR($D$40/$D$10,0)</f>
        <v>138.461538461538</v>
      </c>
      <c r="E62" s="16" t="n">
        <f aca="false">IFERROR($E$40/$E$10,0)</f>
        <v>163.636363636364</v>
      </c>
      <c r="F62" s="16" t="n">
        <f aca="false">IFERROR($F$40/$F$10,0)</f>
        <v>96</v>
      </c>
      <c r="G62" s="16" t="n">
        <f aca="false">IFERROR($G$40/$G$10,0)</f>
        <v>150</v>
      </c>
      <c r="H62" s="16" t="n">
        <f aca="false">IFERROR($H$40/$H$10,0)</f>
        <v>144.444444444444</v>
      </c>
    </row>
    <row r="63" customFormat="false" ht="18" hidden="false" customHeight="true" outlineLevel="0" collapsed="false">
      <c r="B63" s="9" t="s">
        <v>88</v>
      </c>
      <c r="C63" s="10" t="s">
        <v>89</v>
      </c>
      <c r="D63" s="40" t="n">
        <f aca="false">IFERROR($D$11/$D$40,0)</f>
        <v>13.3333333333333</v>
      </c>
      <c r="E63" s="40" t="n">
        <f aca="false">IFERROR($E$11/$E$40,0)</f>
        <v>13.8888888888889</v>
      </c>
      <c r="F63" s="40" t="n">
        <f aca="false">IFERROR($F$11/$F$40,0)</f>
        <v>12.5</v>
      </c>
      <c r="G63" s="40" t="n">
        <f aca="false">IFERROR($G$11/$G$40,0)</f>
        <v>13.5416666666667</v>
      </c>
      <c r="H63" s="40" t="n">
        <f aca="false">IFERROR($H$11/$H$40,0)</f>
        <v>13.8461538461538</v>
      </c>
    </row>
    <row r="64" customFormat="false" ht="18" hidden="false" customHeight="true" outlineLevel="0" collapsed="false">
      <c r="B64" s="9" t="s">
        <v>90</v>
      </c>
      <c r="C64" s="10" t="s">
        <v>91</v>
      </c>
      <c r="D64" s="41" t="n">
        <f aca="false">IFERROR($D$38/$D$44,0)</f>
        <v>0.251080600050852</v>
      </c>
      <c r="E64" s="41" t="n">
        <f aca="false">IFERROR($E$38/$E$44,0)</f>
        <v>0.227561657767607</v>
      </c>
      <c r="F64" s="41" t="n">
        <f aca="false">IFERROR($F$38/$F$44,0)</f>
        <v>0.278959252257929</v>
      </c>
      <c r="G64" s="41" t="n">
        <f aca="false">IFERROR($G$38/$G$44,0)</f>
        <v>0.263157894736842</v>
      </c>
      <c r="H64" s="41" t="n">
        <f aca="false">IFERROR($H$38/$H$44,0)</f>
        <v>0.234825304205508</v>
      </c>
    </row>
    <row r="65" customFormat="false" ht="19.5" hidden="false" customHeight="true" outlineLevel="0" collapsed="false">
      <c r="B65" s="27" t="s">
        <v>92</v>
      </c>
      <c r="C65" s="27"/>
      <c r="D65" s="27"/>
      <c r="E65" s="27"/>
      <c r="F65" s="27"/>
      <c r="G65" s="27"/>
      <c r="H65" s="27"/>
    </row>
    <row r="66" customFormat="false" ht="18" hidden="false" customHeight="true" outlineLevel="0" collapsed="false">
      <c r="B66" s="9" t="s">
        <v>93</v>
      </c>
      <c r="C66" s="30" t="s">
        <v>94</v>
      </c>
      <c r="D66" s="42" t="n">
        <f aca="false">IFERROR(($D$47*40)+($D$48*40)+($D$54*20),0)</f>
        <v>4.75901904761905</v>
      </c>
      <c r="E66" s="42" t="n">
        <f aca="false">IFERROR(($E$47*40)+($E$48*40)+($E$54*20),0)</f>
        <v>4.93105038044477</v>
      </c>
      <c r="F66" s="42" t="n">
        <f aca="false">IFERROR(($F$47*40)+($F$48*40)+($F$54*20),0)</f>
        <v>5.13822865978218</v>
      </c>
      <c r="G66" s="42" t="n">
        <f aca="false">IFERROR(($G$47*40)+($G$48*40)+($G$54*20),0)</f>
        <v>4.64367541614079</v>
      </c>
      <c r="H66" s="42" t="n">
        <f aca="false">IFERROR(($H$47*40)+($H$48*40)+($H$54*20),0)</f>
        <v>4.8596556204668</v>
      </c>
    </row>
    <row r="67" customFormat="false" ht="18" hidden="false" customHeight="true" outlineLevel="0" collapsed="false">
      <c r="B67" s="9" t="s">
        <v>95</v>
      </c>
      <c r="C67" s="20" t="s">
        <v>96</v>
      </c>
      <c r="D67" s="43" t="n">
        <f aca="false">RANK($D$66,$D$66:$H$66,0)</f>
        <v>4</v>
      </c>
      <c r="E67" s="43" t="n">
        <f aca="false">RANK($E$66,$D$66:$H$66,0)</f>
        <v>2</v>
      </c>
      <c r="F67" s="43" t="n">
        <f aca="false">RANK($F$66,$D$66:$H$66,0)</f>
        <v>1</v>
      </c>
      <c r="G67" s="43" t="n">
        <f aca="false">RANK($G$66,$D$66:$H$66,0)</f>
        <v>5</v>
      </c>
      <c r="H67" s="43" t="n">
        <f aca="false">RANK($H$66,$D$66:$H$66,0)</f>
        <v>3</v>
      </c>
    </row>
    <row r="69" customFormat="false" ht="19.5" hidden="false" customHeight="true" outlineLevel="0" collapsed="false">
      <c r="B69" s="44" t="s">
        <v>97</v>
      </c>
      <c r="C69" s="44"/>
      <c r="D69" s="44"/>
      <c r="E69" s="44"/>
      <c r="F69" s="44"/>
      <c r="G69" s="44"/>
      <c r="H69" s="44"/>
    </row>
    <row r="70" customFormat="false" ht="15" hidden="false" customHeight="true" outlineLevel="0" collapsed="false">
      <c r="C70" s="45" t="s">
        <v>98</v>
      </c>
      <c r="D70" s="46" t="s">
        <v>99</v>
      </c>
      <c r="E70" s="46"/>
      <c r="F70" s="46"/>
      <c r="G70" s="46"/>
      <c r="H70" s="46"/>
    </row>
    <row r="71" customFormat="false" ht="15" hidden="false" customHeight="true" outlineLevel="0" collapsed="false">
      <c r="C71" s="47" t="s">
        <v>100</v>
      </c>
      <c r="D71" s="46" t="s">
        <v>101</v>
      </c>
      <c r="E71" s="46"/>
      <c r="F71" s="46"/>
      <c r="G71" s="46"/>
      <c r="H71" s="46"/>
    </row>
    <row r="72" customFormat="false" ht="15" hidden="false" customHeight="true" outlineLevel="0" collapsed="false">
      <c r="C72" s="48" t="s">
        <v>102</v>
      </c>
      <c r="D72" s="46" t="s">
        <v>103</v>
      </c>
      <c r="E72" s="46"/>
      <c r="F72" s="46"/>
      <c r="G72" s="46"/>
      <c r="H72" s="46"/>
    </row>
    <row r="73" customFormat="false" ht="15" hidden="false" customHeight="true" outlineLevel="0" collapsed="false">
      <c r="C73" s="49" t="s">
        <v>104</v>
      </c>
      <c r="D73" s="46" t="s">
        <v>105</v>
      </c>
      <c r="E73" s="46"/>
      <c r="F73" s="46"/>
      <c r="G73" s="46"/>
      <c r="H73" s="46"/>
    </row>
    <row r="74" customFormat="false" ht="15" hidden="false" customHeight="true" outlineLevel="0" collapsed="false">
      <c r="C74" s="50" t="s">
        <v>106</v>
      </c>
      <c r="D74" s="46" t="s">
        <v>107</v>
      </c>
      <c r="E74" s="46"/>
      <c r="F74" s="46"/>
      <c r="G74" s="46"/>
      <c r="H74" s="46"/>
    </row>
  </sheetData>
  <mergeCells count="16">
    <mergeCell ref="A1:I1"/>
    <mergeCell ref="A2:I2"/>
    <mergeCell ref="B5:H5"/>
    <mergeCell ref="B13:H13"/>
    <mergeCell ref="B29:H29"/>
    <mergeCell ref="B39:H39"/>
    <mergeCell ref="B45:H45"/>
    <mergeCell ref="B53:H53"/>
    <mergeCell ref="B60:H60"/>
    <mergeCell ref="B65:H65"/>
    <mergeCell ref="B69:H69"/>
    <mergeCell ref="D70:H70"/>
    <mergeCell ref="D71:H71"/>
    <mergeCell ref="D72:H72"/>
    <mergeCell ref="D73:H73"/>
    <mergeCell ref="D74:H74"/>
  </mergeCells>
  <conditionalFormatting sqref="D47:H47">
    <cfRule type="colorScale" priority="2">
      <colorScale>
        <cfvo type="min" val="0"/>
        <cfvo type="percentile" val="50"/>
        <cfvo type="max" val="0"/>
        <color rgb="FFFFAAAA"/>
        <color rgb="FFFFFACC"/>
        <color rgb="FF90EE90"/>
      </colorScale>
    </cfRule>
  </conditionalFormatting>
  <conditionalFormatting sqref="D48:H48">
    <cfRule type="colorScale" priority="3">
      <colorScale>
        <cfvo type="min" val="0"/>
        <cfvo type="percentile" val="50"/>
        <cfvo type="max" val="0"/>
        <color rgb="FFFFAAAA"/>
        <color rgb="FFFFFACC"/>
        <color rgb="FF90EE90"/>
      </colorScale>
    </cfRule>
  </conditionalFormatting>
  <conditionalFormatting sqref="D49:H49">
    <cfRule type="colorScale" priority="4">
      <colorScale>
        <cfvo type="min" val="0"/>
        <cfvo type="percentile" val="50"/>
        <cfvo type="max" val="0"/>
        <color rgb="FFFFAAAA"/>
        <color rgb="FFFFFACC"/>
        <color rgb="FF90EE90"/>
      </colorScale>
    </cfRule>
  </conditionalFormatting>
  <conditionalFormatting sqref="D50:H50">
    <cfRule type="colorScale" priority="5">
      <colorScale>
        <cfvo type="min" val="0"/>
        <cfvo type="percentile" val="50"/>
        <cfvo type="max" val="0"/>
        <color rgb="FFFFAAAA"/>
        <color rgb="FFFFFACC"/>
        <color rgb="FF90EE90"/>
      </colorScale>
    </cfRule>
  </conditionalFormatting>
  <conditionalFormatting sqref="D66:H66">
    <cfRule type="colorScale" priority="6">
      <colorScale>
        <cfvo type="min" val="0"/>
        <cfvo type="percentile" val="50"/>
        <cfvo type="max" val="0"/>
        <color rgb="FFFFAAAA"/>
        <color rgb="FFFFFACC"/>
        <color rgb="FF90EE9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3226"/>
    <pageSetUpPr fitToPage="fals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32"/>
    <col collapsed="false" customWidth="true" hidden="false" outlineLevel="0" max="5" min="4" style="0" width="18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9" min="8" style="0" width="16"/>
    <col collapsed="false" customWidth="true" hidden="false" outlineLevel="0" max="10" min="10" style="0" width="3"/>
  </cols>
  <sheetData>
    <row r="1" customFormat="false" ht="37.5" hidden="false" customHeight="true" outlineLevel="0" collapsed="false">
      <c r="A1" s="51" t="s">
        <v>108</v>
      </c>
      <c r="B1" s="51"/>
      <c r="C1" s="51"/>
      <c r="D1" s="51"/>
      <c r="E1" s="51"/>
      <c r="F1" s="51"/>
      <c r="G1" s="51"/>
      <c r="H1" s="51"/>
      <c r="I1" s="51"/>
    </row>
    <row r="2" customFormat="false" ht="19.5" hidden="false" customHeight="true" outlineLevel="0" collapsed="false">
      <c r="A2" s="3" t="s">
        <v>109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>
      <c r="A3" s="52"/>
      <c r="B3" s="52"/>
      <c r="C3" s="52"/>
      <c r="D3" s="52"/>
      <c r="E3" s="52"/>
      <c r="F3" s="52"/>
      <c r="G3" s="52"/>
      <c r="H3" s="52"/>
      <c r="I3" s="52"/>
    </row>
    <row r="4" customFormat="false" ht="21.75" hidden="false" customHeight="true" outlineLevel="0" collapsed="false">
      <c r="C4" s="7" t="s">
        <v>110</v>
      </c>
      <c r="D4" s="7" t="s">
        <v>111</v>
      </c>
      <c r="E4" s="7" t="s">
        <v>112</v>
      </c>
      <c r="G4" s="53" t="s">
        <v>113</v>
      </c>
      <c r="H4" s="53"/>
      <c r="I4" s="53"/>
    </row>
    <row r="5" customFormat="false" ht="21.75" hidden="false" customHeight="true" outlineLevel="0" collapsed="false">
      <c r="C5" s="17" t="s">
        <v>114</v>
      </c>
      <c r="D5" s="17"/>
      <c r="E5" s="17"/>
      <c r="G5" s="7" t="s">
        <v>115</v>
      </c>
      <c r="H5" s="7" t="s">
        <v>116</v>
      </c>
      <c r="I5" s="7" t="s">
        <v>117</v>
      </c>
    </row>
    <row r="6" customFormat="false" ht="16.5" hidden="false" customHeight="true" outlineLevel="0" collapsed="false">
      <c r="B6" s="12" t="s">
        <v>118</v>
      </c>
      <c r="C6" s="12" t="s">
        <v>119</v>
      </c>
      <c r="D6" s="11" t="s">
        <v>120</v>
      </c>
      <c r="E6" s="11" t="s">
        <v>120</v>
      </c>
      <c r="G6" s="54" t="n">
        <v>1</v>
      </c>
      <c r="H6" s="55" t="n">
        <f aca="false">IFERROR(IFERROR(-PPMT(D$22,((1-1)*12)+1,D$23,D$15),0)+IFERROR(-PPMT(D$22,((1-1)*12)+2,D$23,D$15),0)+IFERROR(-PPMT(D$22,((1-1)*12)+3,D$23,D$15),0)+IFERROR(-PPMT(D$22,((1-1)*12)+4,D$23,D$15),0)+IFERROR(-PPMT(D$22,((1-1)*12)+5,D$23,D$15),0)+IFERROR(-PPMT(D$22,((1-1)*12)+6,D$23,D$15),0)+IFERROR(-PPMT(D$22,((1-1)*12)+7,D$23,D$15),0)+IFERROR(-PPMT(D$22,((1-1)*12)+8,D$23,D$15),0)+IFERROR(-PPMT(D$22,((1-1)*12)+9,D$23,D$15),0)+IFERROR(-PPMT(D$22,((1-1)*12)+10,D$23,D$15),0)+IFERROR(-PPMT(D$22,((1-1)*12)+11,D$23,D$15),0)+IFERROR(-PPMT(D$22,((1-1)*12)+12,D$23,D$15),0),0)</f>
        <v>26583.7196775367</v>
      </c>
      <c r="I6" s="56" t="n">
        <f aca="false">IFERROR(IFERROR(-IPMT(D$22,((1-1)*12)+1,D$23,D$15),0)+IFERROR(-IPMT(D$22,((1-1)*12)+2,D$23,D$15),0)+IFERROR(-IPMT(D$22,((1-1)*12)+3,D$23,D$15),0)+IFERROR(-IPMT(D$22,((1-1)*12)+4,D$23,D$15),0)+IFERROR(-IPMT(D$22,((1-1)*12)+5,D$23,D$15),0)+IFERROR(-IPMT(D$22,((1-1)*12)+6,D$23,D$15),0)+IFERROR(-IPMT(D$22,((1-1)*12)+7,D$23,D$15),0)+IFERROR(-IPMT(D$22,((1-1)*12)+8,D$23,D$15),0)+IFERROR(-IPMT(D$22,((1-1)*12)+9,D$23,D$15),0)+IFERROR(-IPMT(D$22,((1-1)*12)+10,D$23,D$15),0)+IFERROR(-IPMT(D$22,((1-1)*12)+11,D$23,D$15),0)+IFERROR(-IPMT(D$22,((1-1)*12)+12,D$23,D$15),0),0)</f>
        <v>53456.1571489897</v>
      </c>
    </row>
    <row r="7" customFormat="false" ht="16.5" hidden="false" customHeight="true" outlineLevel="0" collapsed="false">
      <c r="B7" s="12" t="s">
        <v>121</v>
      </c>
      <c r="C7" s="12" t="s">
        <v>122</v>
      </c>
      <c r="D7" s="57" t="n">
        <v>1500000</v>
      </c>
      <c r="E7" s="57" t="n">
        <v>1500000</v>
      </c>
      <c r="G7" s="58" t="n">
        <v>2</v>
      </c>
      <c r="H7" s="59" t="n">
        <f aca="false">IFERROR(IFERROR(-PPMT(D$22,((2-1)*12)+1,D$23,D$15),0)+IFERROR(-PPMT(D$22,((2-1)*12)+2,D$23,D$15),0)+IFERROR(-PPMT(D$22,((2-1)*12)+3,D$23,D$15),0)+IFERROR(-PPMT(D$22,((2-1)*12)+4,D$23,D$15),0)+IFERROR(-PPMT(D$22,((2-1)*12)+5,D$23,D$15),0)+IFERROR(-PPMT(D$22,((2-1)*12)+6,D$23,D$15),0)+IFERROR(-PPMT(D$22,((2-1)*12)+7,D$23,D$15),0)+IFERROR(-PPMT(D$22,((2-1)*12)+8,D$23,D$15),0)+IFERROR(-PPMT(D$22,((2-1)*12)+9,D$23,D$15),0)+IFERROR(-PPMT(D$22,((2-1)*12)+10,D$23,D$15),0)+IFERROR(-PPMT(D$22,((2-1)*12)+11,D$23,D$15),0)+IFERROR(-PPMT(D$22,((2-1)*12)+12,D$23,D$15),0),0)</f>
        <v>27804.9711084508</v>
      </c>
      <c r="I7" s="60" t="n">
        <f aca="false">IFERROR(IFERROR(-IPMT(D$22,((2-1)*12)+1,D$23,D$15),0)+IFERROR(-IPMT(D$22,((2-1)*12)+2,D$23,D$15),0)+IFERROR(-IPMT(D$22,((2-1)*12)+3,D$23,D$15),0)+IFERROR(-IPMT(D$22,((2-1)*12)+4,D$23,D$15),0)+IFERROR(-IPMT(D$22,((2-1)*12)+5,D$23,D$15),0)+IFERROR(-IPMT(D$22,((2-1)*12)+6,D$23,D$15),0)+IFERROR(-IPMT(D$22,((2-1)*12)+7,D$23,D$15),0)+IFERROR(-IPMT(D$22,((2-1)*12)+8,D$23,D$15),0)+IFERROR(-IPMT(D$22,((2-1)*12)+9,D$23,D$15),0)+IFERROR(-IPMT(D$22,((2-1)*12)+10,D$23,D$15),0)+IFERROR(-IPMT(D$22,((2-1)*12)+11,D$23,D$15),0)+IFERROR(-IPMT(D$22,((2-1)*12)+12,D$23,D$15),0),0)</f>
        <v>52234.9057180756</v>
      </c>
    </row>
    <row r="8" customFormat="false" ht="16.5" hidden="false" customHeight="true" outlineLevel="0" collapsed="false">
      <c r="B8" s="12" t="s">
        <v>123</v>
      </c>
      <c r="C8" s="12" t="s">
        <v>124</v>
      </c>
      <c r="D8" s="57" t="n">
        <v>110000</v>
      </c>
      <c r="E8" s="57" t="n">
        <v>110000</v>
      </c>
      <c r="G8" s="54" t="n">
        <v>3</v>
      </c>
      <c r="H8" s="55" t="n">
        <f aca="false">IFERROR(IFERROR(-PPMT(D$22,((3-1)*12)+1,D$23,D$15),0)+IFERROR(-PPMT(D$22,((3-1)*12)+2,D$23,D$15),0)+IFERROR(-PPMT(D$22,((3-1)*12)+3,D$23,D$15),0)+IFERROR(-PPMT(D$22,((3-1)*12)+4,D$23,D$15),0)+IFERROR(-PPMT(D$22,((3-1)*12)+5,D$23,D$15),0)+IFERROR(-PPMT(D$22,((3-1)*12)+6,D$23,D$15),0)+IFERROR(-PPMT(D$22,((3-1)*12)+7,D$23,D$15),0)+IFERROR(-PPMT(D$22,((3-1)*12)+8,D$23,D$15),0)+IFERROR(-PPMT(D$22,((3-1)*12)+9,D$23,D$15),0)+IFERROR(-PPMT(D$22,((3-1)*12)+10,D$23,D$15),0)+IFERROR(-PPMT(D$22,((3-1)*12)+11,D$23,D$15),0)+IFERROR(-PPMT(D$22,((3-1)*12)+12,D$23,D$15),0),0)</f>
        <v>29082.3266164317</v>
      </c>
      <c r="I8" s="56" t="n">
        <f aca="false">IFERROR(IFERROR(-IPMT(D$22,((3-1)*12)+1,D$23,D$15),0)+IFERROR(-IPMT(D$22,((3-1)*12)+2,D$23,D$15),0)+IFERROR(-IPMT(D$22,((3-1)*12)+3,D$23,D$15),0)+IFERROR(-IPMT(D$22,((3-1)*12)+4,D$23,D$15),0)+IFERROR(-IPMT(D$22,((3-1)*12)+5,D$23,D$15),0)+IFERROR(-IPMT(D$22,((3-1)*12)+6,D$23,D$15),0)+IFERROR(-IPMT(D$22,((3-1)*12)+7,D$23,D$15),0)+IFERROR(-IPMT(D$22,((3-1)*12)+8,D$23,D$15),0)+IFERROR(-IPMT(D$22,((3-1)*12)+9,D$23,D$15),0)+IFERROR(-IPMT(D$22,((3-1)*12)+10,D$23,D$15),0)+IFERROR(-IPMT(D$22,((3-1)*12)+11,D$23,D$15),0)+IFERROR(-IPMT(D$22,((3-1)*12)+12,D$23,D$15),0),0)</f>
        <v>50957.5502100947</v>
      </c>
    </row>
    <row r="9" customFormat="false" ht="16.5" hidden="false" customHeight="true" outlineLevel="0" collapsed="false">
      <c r="B9" s="12" t="s">
        <v>125</v>
      </c>
      <c r="C9" s="12" t="s">
        <v>126</v>
      </c>
      <c r="D9" s="57" t="n">
        <v>35000</v>
      </c>
      <c r="E9" s="57" t="n">
        <v>35000</v>
      </c>
      <c r="G9" s="58" t="n">
        <v>4</v>
      </c>
      <c r="H9" s="59" t="n">
        <f aca="false">IFERROR(IFERROR(-PPMT(D$22,((4-1)*12)+1,D$23,D$15),0)+IFERROR(-PPMT(D$22,((4-1)*12)+2,D$23,D$15),0)+IFERROR(-PPMT(D$22,((4-1)*12)+3,D$23,D$15),0)+IFERROR(-PPMT(D$22,((4-1)*12)+4,D$23,D$15),0)+IFERROR(-PPMT(D$22,((4-1)*12)+5,D$23,D$15),0)+IFERROR(-PPMT(D$22,((4-1)*12)+6,D$23,D$15),0)+IFERROR(-PPMT(D$22,((4-1)*12)+7,D$23,D$15),0)+IFERROR(-PPMT(D$22,((4-1)*12)+8,D$23,D$15),0)+IFERROR(-PPMT(D$22,((4-1)*12)+9,D$23,D$15),0)+IFERROR(-PPMT(D$22,((4-1)*12)+10,D$23,D$15),0)+IFERROR(-PPMT(D$22,((4-1)*12)+11,D$23,D$15),0)+IFERROR(-PPMT(D$22,((4-1)*12)+12,D$23,D$15),0),0)</f>
        <v>30418.3636129638</v>
      </c>
      <c r="I9" s="60" t="n">
        <f aca="false">IFERROR(IFERROR(-IPMT(D$22,((4-1)*12)+1,D$23,D$15),0)+IFERROR(-IPMT(D$22,((4-1)*12)+2,D$23,D$15),0)+IFERROR(-IPMT(D$22,((4-1)*12)+3,D$23,D$15),0)+IFERROR(-IPMT(D$22,((4-1)*12)+4,D$23,D$15),0)+IFERROR(-IPMT(D$22,((4-1)*12)+5,D$23,D$15),0)+IFERROR(-IPMT(D$22,((4-1)*12)+6,D$23,D$15),0)+IFERROR(-IPMT(D$22,((4-1)*12)+7,D$23,D$15),0)+IFERROR(-IPMT(D$22,((4-1)*12)+8,D$23,D$15),0)+IFERROR(-IPMT(D$22,((4-1)*12)+9,D$23,D$15),0)+IFERROR(-IPMT(D$22,((4-1)*12)+10,D$23,D$15),0)+IFERROR(-IPMT(D$22,((4-1)*12)+11,D$23,D$15),0)+IFERROR(-IPMT(D$22,((4-1)*12)+12,D$23,D$15),0),0)</f>
        <v>49621.5132135626</v>
      </c>
    </row>
    <row r="10" customFormat="false" ht="16.5" hidden="false" customHeight="true" outlineLevel="0" collapsed="false">
      <c r="B10" s="12" t="s">
        <v>127</v>
      </c>
      <c r="C10" s="12" t="s">
        <v>128</v>
      </c>
      <c r="D10" s="57" t="n">
        <v>90000</v>
      </c>
      <c r="E10" s="57" t="n">
        <v>60000</v>
      </c>
      <c r="G10" s="54" t="n">
        <v>5</v>
      </c>
      <c r="H10" s="55" t="n">
        <f aca="false">IFERROR(IFERROR(-PPMT(D$22,((5-1)*12)+1,D$23,D$15),0)+IFERROR(-PPMT(D$22,((5-1)*12)+2,D$23,D$15),0)+IFERROR(-PPMT(D$22,((5-1)*12)+3,D$23,D$15),0)+IFERROR(-PPMT(D$22,((5-1)*12)+4,D$23,D$15),0)+IFERROR(-PPMT(D$22,((5-1)*12)+5,D$23,D$15),0)+IFERROR(-PPMT(D$22,((5-1)*12)+6,D$23,D$15),0)+IFERROR(-PPMT(D$22,((5-1)*12)+7,D$23,D$15),0)+IFERROR(-PPMT(D$22,((5-1)*12)+8,D$23,D$15),0)+IFERROR(-PPMT(D$22,((5-1)*12)+9,D$23,D$15),0)+IFERROR(-PPMT(D$22,((5-1)*12)+10,D$23,D$15),0)+IFERROR(-PPMT(D$22,((5-1)*12)+11,D$23,D$15),0)+IFERROR(-PPMT(D$22,((5-1)*12)+12,D$23,D$15),0),0)</f>
        <v>31815.7779153644</v>
      </c>
      <c r="I10" s="56" t="n">
        <f aca="false">IFERROR(IFERROR(-IPMT(D$22,((5-1)*12)+1,D$23,D$15),0)+IFERROR(-IPMT(D$22,((5-1)*12)+2,D$23,D$15),0)+IFERROR(-IPMT(D$22,((5-1)*12)+3,D$23,D$15),0)+IFERROR(-IPMT(D$22,((5-1)*12)+4,D$23,D$15),0)+IFERROR(-IPMT(D$22,((5-1)*12)+5,D$23,D$15),0)+IFERROR(-IPMT(D$22,((5-1)*12)+6,D$23,D$15),0)+IFERROR(-IPMT(D$22,((5-1)*12)+7,D$23,D$15),0)+IFERROR(-IPMT(D$22,((5-1)*12)+8,D$23,D$15),0)+IFERROR(-IPMT(D$22,((5-1)*12)+9,D$23,D$15),0)+IFERROR(-IPMT(D$22,((5-1)*12)+10,D$23,D$15),0)+IFERROR(-IPMT(D$22,((5-1)*12)+11,D$23,D$15),0)+IFERROR(-IPMT(D$22,((5-1)*12)+12,D$23,D$15),0),0)</f>
        <v>48224.098911162</v>
      </c>
    </row>
    <row r="11" customFormat="false" ht="16.5" hidden="false" customHeight="true" outlineLevel="0" collapsed="false">
      <c r="G11" s="58" t="n">
        <v>6</v>
      </c>
      <c r="H11" s="59" t="n">
        <f aca="false">IFERROR(IFERROR(-PPMT(D$22,((6-1)*12)+1,D$23,D$15),0)+IFERROR(-PPMT(D$22,((6-1)*12)+2,D$23,D$15),0)+IFERROR(-PPMT(D$22,((6-1)*12)+3,D$23,D$15),0)+IFERROR(-PPMT(D$22,((6-1)*12)+4,D$23,D$15),0)+IFERROR(-PPMT(D$22,((6-1)*12)+5,D$23,D$15),0)+IFERROR(-PPMT(D$22,((6-1)*12)+6,D$23,D$15),0)+IFERROR(-PPMT(D$22,((6-1)*12)+7,D$23,D$15),0)+IFERROR(-PPMT(D$22,((6-1)*12)+8,D$23,D$15),0)+IFERROR(-PPMT(D$22,((6-1)*12)+9,D$23,D$15),0)+IFERROR(-PPMT(D$22,((6-1)*12)+10,D$23,D$15),0)+IFERROR(-PPMT(D$22,((6-1)*12)+11,D$23,D$15),0)+IFERROR(-PPMT(D$22,((6-1)*12)+12,D$23,D$15),0),0)</f>
        <v>33277.3891863265</v>
      </c>
      <c r="I11" s="60" t="n">
        <f aca="false">IFERROR(IFERROR(-IPMT(D$22,((6-1)*12)+1,D$23,D$15),0)+IFERROR(-IPMT(D$22,((6-1)*12)+2,D$23,D$15),0)+IFERROR(-IPMT(D$22,((6-1)*12)+3,D$23,D$15),0)+IFERROR(-IPMT(D$22,((6-1)*12)+4,D$23,D$15),0)+IFERROR(-IPMT(D$22,((6-1)*12)+5,D$23,D$15),0)+IFERROR(-IPMT(D$22,((6-1)*12)+6,D$23,D$15),0)+IFERROR(-IPMT(D$22,((6-1)*12)+7,D$23,D$15),0)+IFERROR(-IPMT(D$22,((6-1)*12)+8,D$23,D$15),0)+IFERROR(-IPMT(D$22,((6-1)*12)+9,D$23,D$15),0)+IFERROR(-IPMT(D$22,((6-1)*12)+10,D$23,D$15),0)+IFERROR(-IPMT(D$22,((6-1)*12)+11,D$23,D$15),0)+IFERROR(-IPMT(D$22,((6-1)*12)+12,D$23,D$15),0),0)</f>
        <v>46762.4876401999</v>
      </c>
    </row>
    <row r="12" customFormat="false" ht="16.5" hidden="false" customHeight="true" outlineLevel="0" collapsed="false">
      <c r="C12" s="17" t="s">
        <v>129</v>
      </c>
      <c r="D12" s="17"/>
      <c r="E12" s="17"/>
      <c r="G12" s="54" t="n">
        <v>7</v>
      </c>
      <c r="H12" s="55" t="n">
        <f aca="false">IFERROR(IFERROR(-PPMT(D$22,((7-1)*12)+1,D$23,D$15),0)+IFERROR(-PPMT(D$22,((7-1)*12)+2,D$23,D$15),0)+IFERROR(-PPMT(D$22,((7-1)*12)+3,D$23,D$15),0)+IFERROR(-PPMT(D$22,((7-1)*12)+4,D$23,D$15),0)+IFERROR(-PPMT(D$22,((7-1)*12)+5,D$23,D$15),0)+IFERROR(-PPMT(D$22,((7-1)*12)+6,D$23,D$15),0)+IFERROR(-PPMT(D$22,((7-1)*12)+7,D$23,D$15),0)+IFERROR(-PPMT(D$22,((7-1)*12)+8,D$23,D$15),0)+IFERROR(-PPMT(D$22,((7-1)*12)+9,D$23,D$15),0)+IFERROR(-PPMT(D$22,((7-1)*12)+10,D$23,D$15),0)+IFERROR(-PPMT(D$22,((7-1)*12)+11,D$23,D$15),0)+IFERROR(-PPMT(D$22,((7-1)*12)+12,D$23,D$15),0),0)</f>
        <v>34806.146623354</v>
      </c>
      <c r="I12" s="56" t="n">
        <f aca="false">IFERROR(IFERROR(-IPMT(D$22,((7-1)*12)+1,D$23,D$15),0)+IFERROR(-IPMT(D$22,((7-1)*12)+2,D$23,D$15),0)+IFERROR(-IPMT(D$22,((7-1)*12)+3,D$23,D$15),0)+IFERROR(-IPMT(D$22,((7-1)*12)+4,D$23,D$15),0)+IFERROR(-IPMT(D$22,((7-1)*12)+5,D$23,D$15),0)+IFERROR(-IPMT(D$22,((7-1)*12)+6,D$23,D$15),0)+IFERROR(-IPMT(D$22,((7-1)*12)+7,D$23,D$15),0)+IFERROR(-IPMT(D$22,((7-1)*12)+8,D$23,D$15),0)+IFERROR(-IPMT(D$22,((7-1)*12)+9,D$23,D$15),0)+IFERROR(-IPMT(D$22,((7-1)*12)+10,D$23,D$15),0)+IFERROR(-IPMT(D$22,((7-1)*12)+11,D$23,D$15),0)+IFERROR(-IPMT(D$22,((7-1)*12)+12,D$23,D$15),0),0)</f>
        <v>45233.7302031725</v>
      </c>
    </row>
    <row r="13" customFormat="false" ht="16.5" hidden="false" customHeight="true" outlineLevel="0" collapsed="false">
      <c r="B13" s="12" t="s">
        <v>130</v>
      </c>
      <c r="C13" s="12" t="s">
        <v>131</v>
      </c>
      <c r="D13" s="18" t="n">
        <v>0.2</v>
      </c>
      <c r="E13" s="61" t="s">
        <v>132</v>
      </c>
      <c r="G13" s="58" t="n">
        <v>8</v>
      </c>
      <c r="H13" s="59" t="n">
        <f aca="false">IFERROR(IFERROR(-PPMT(D$22,((8-1)*12)+1,D$23,D$15),0)+IFERROR(-PPMT(D$22,((8-1)*12)+2,D$23,D$15),0)+IFERROR(-PPMT(D$22,((8-1)*12)+3,D$23,D$15),0)+IFERROR(-PPMT(D$22,((8-1)*12)+4,D$23,D$15),0)+IFERROR(-PPMT(D$22,((8-1)*12)+5,D$23,D$15),0)+IFERROR(-PPMT(D$22,((8-1)*12)+6,D$23,D$15),0)+IFERROR(-PPMT(D$22,((8-1)*12)+7,D$23,D$15),0)+IFERROR(-PPMT(D$22,((8-1)*12)+8,D$23,D$15),0)+IFERROR(-PPMT(D$22,((8-1)*12)+9,D$23,D$15),0)+IFERROR(-PPMT(D$22,((8-1)*12)+10,D$23,D$15),0)+IFERROR(-PPMT(D$22,((8-1)*12)+11,D$23,D$15),0)+IFERROR(-PPMT(D$22,((8-1)*12)+12,D$23,D$15),0),0)</f>
        <v>36405.1349095679</v>
      </c>
      <c r="I13" s="60" t="n">
        <f aca="false">IFERROR(IFERROR(-IPMT(D$22,((8-1)*12)+1,D$23,D$15),0)+IFERROR(-IPMT(D$22,((8-1)*12)+2,D$23,D$15),0)+IFERROR(-IPMT(D$22,((8-1)*12)+3,D$23,D$15),0)+IFERROR(-IPMT(D$22,((8-1)*12)+4,D$23,D$15),0)+IFERROR(-IPMT(D$22,((8-1)*12)+5,D$23,D$15),0)+IFERROR(-IPMT(D$22,((8-1)*12)+6,D$23,D$15),0)+IFERROR(-IPMT(D$22,((8-1)*12)+7,D$23,D$15),0)+IFERROR(-IPMT(D$22,((8-1)*12)+8,D$23,D$15),0)+IFERROR(-IPMT(D$22,((8-1)*12)+9,D$23,D$15),0)+IFERROR(-IPMT(D$22,((8-1)*12)+10,D$23,D$15),0)+IFERROR(-IPMT(D$22,((8-1)*12)+11,D$23,D$15),0)+IFERROR(-IPMT(D$22,((8-1)*12)+12,D$23,D$15),0),0)</f>
        <v>43634.7419169585</v>
      </c>
    </row>
    <row r="14" customFormat="false" ht="16.5" hidden="false" customHeight="true" outlineLevel="0" collapsed="false">
      <c r="B14" s="12" t="s">
        <v>133</v>
      </c>
      <c r="C14" s="12" t="s">
        <v>134</v>
      </c>
      <c r="D14" s="62" t="n">
        <f aca="false">D7*D13</f>
        <v>300000</v>
      </c>
      <c r="E14" s="63" t="n">
        <f aca="false">E7</f>
        <v>1500000</v>
      </c>
      <c r="G14" s="54" t="n">
        <v>9</v>
      </c>
      <c r="H14" s="55" t="n">
        <f aca="false">IFERROR(IFERROR(-PPMT(D$22,((9-1)*12)+1,D$23,D$15),0)+IFERROR(-PPMT(D$22,((9-1)*12)+2,D$23,D$15),0)+IFERROR(-PPMT(D$22,((9-1)*12)+3,D$23,D$15),0)+IFERROR(-PPMT(D$22,((9-1)*12)+4,D$23,D$15),0)+IFERROR(-PPMT(D$22,((9-1)*12)+5,D$23,D$15),0)+IFERROR(-PPMT(D$22,((9-1)*12)+6,D$23,D$15),0)+IFERROR(-PPMT(D$22,((9-1)*12)+7,D$23,D$15),0)+IFERROR(-PPMT(D$22,((9-1)*12)+8,D$23,D$15),0)+IFERROR(-PPMT(D$22,((9-1)*12)+9,D$23,D$15),0)+IFERROR(-PPMT(D$22,((9-1)*12)+10,D$23,D$15),0)+IFERROR(-PPMT(D$22,((9-1)*12)+11,D$23,D$15),0)+IFERROR(-PPMT(D$22,((9-1)*12)+12,D$23,D$15),0),0)</f>
        <v>38077.5804378926</v>
      </c>
      <c r="I14" s="56" t="n">
        <f aca="false">IFERROR(IFERROR(-IPMT(D$22,((9-1)*12)+1,D$23,D$15),0)+IFERROR(-IPMT(D$22,((9-1)*12)+2,D$23,D$15),0)+IFERROR(-IPMT(D$22,((9-1)*12)+3,D$23,D$15),0)+IFERROR(-IPMT(D$22,((9-1)*12)+4,D$23,D$15),0)+IFERROR(-IPMT(D$22,((9-1)*12)+5,D$23,D$15),0)+IFERROR(-IPMT(D$22,((9-1)*12)+6,D$23,D$15),0)+IFERROR(-IPMT(D$22,((9-1)*12)+7,D$23,D$15),0)+IFERROR(-IPMT(D$22,((9-1)*12)+8,D$23,D$15),0)+IFERROR(-IPMT(D$22,((9-1)*12)+9,D$23,D$15),0)+IFERROR(-IPMT(D$22,((9-1)*12)+10,D$23,D$15),0)+IFERROR(-IPMT(D$22,((9-1)*12)+11,D$23,D$15),0)+IFERROR(-IPMT(D$22,((9-1)*12)+12,D$23,D$15),0),0)</f>
        <v>41962.2963886339</v>
      </c>
    </row>
    <row r="15" customFormat="false" ht="16.5" hidden="false" customHeight="true" outlineLevel="0" collapsed="false">
      <c r="B15" s="12" t="s">
        <v>135</v>
      </c>
      <c r="C15" s="12" t="s">
        <v>136</v>
      </c>
      <c r="D15" s="62" t="n">
        <f aca="false">D7-D14</f>
        <v>1200000</v>
      </c>
      <c r="E15" s="64" t="n">
        <f aca="false">0</f>
        <v>0</v>
      </c>
      <c r="G15" s="58" t="n">
        <v>10</v>
      </c>
      <c r="H15" s="59" t="n">
        <f aca="false">IFERROR(IFERROR(-PPMT(D$22,((10-1)*12)+1,D$23,D$15),0)+IFERROR(-PPMT(D$22,((10-1)*12)+2,D$23,D$15),0)+IFERROR(-PPMT(D$22,((10-1)*12)+3,D$23,D$15),0)+IFERROR(-PPMT(D$22,((10-1)*12)+4,D$23,D$15),0)+IFERROR(-PPMT(D$22,((10-1)*12)+5,D$23,D$15),0)+IFERROR(-PPMT(D$22,((10-1)*12)+6,D$23,D$15),0)+IFERROR(-PPMT(D$22,((10-1)*12)+7,D$23,D$15),0)+IFERROR(-PPMT(D$22,((10-1)*12)+8,D$23,D$15),0)+IFERROR(-PPMT(D$22,((10-1)*12)+9,D$23,D$15),0)+IFERROR(-PPMT(D$22,((10-1)*12)+10,D$23,D$15),0)+IFERROR(-PPMT(D$22,((10-1)*12)+11,D$23,D$15),0)+IFERROR(-PPMT(D$22,((10-1)*12)+12,D$23,D$15),0),0)</f>
        <v>39826.8578211783</v>
      </c>
      <c r="I15" s="60" t="n">
        <f aca="false">IFERROR(IFERROR(-IPMT(D$22,((10-1)*12)+1,D$23,D$15),0)+IFERROR(-IPMT(D$22,((10-1)*12)+2,D$23,D$15),0)+IFERROR(-IPMT(D$22,((10-1)*12)+3,D$23,D$15),0)+IFERROR(-IPMT(D$22,((10-1)*12)+4,D$23,D$15),0)+IFERROR(-IPMT(D$22,((10-1)*12)+5,D$23,D$15),0)+IFERROR(-IPMT(D$22,((10-1)*12)+6,D$23,D$15),0)+IFERROR(-IPMT(D$22,((10-1)*12)+7,D$23,D$15),0)+IFERROR(-IPMT(D$22,((10-1)*12)+8,D$23,D$15),0)+IFERROR(-IPMT(D$22,((10-1)*12)+9,D$23,D$15),0)+IFERROR(-IPMT(D$22,((10-1)*12)+10,D$23,D$15),0)+IFERROR(-IPMT(D$22,((10-1)*12)+11,D$23,D$15),0)+IFERROR(-IPMT(D$22,((10-1)*12)+12,D$23,D$15),0),0)</f>
        <v>40213.0190053481</v>
      </c>
    </row>
    <row r="16" customFormat="false" ht="16.5" hidden="false" customHeight="true" outlineLevel="0" collapsed="false">
      <c r="B16" s="12" t="s">
        <v>137</v>
      </c>
      <c r="C16" s="12" t="s">
        <v>138</v>
      </c>
      <c r="D16" s="18" t="n">
        <v>0.045</v>
      </c>
      <c r="E16" s="61" t="s">
        <v>139</v>
      </c>
      <c r="G16" s="54" t="n">
        <v>11</v>
      </c>
      <c r="H16" s="55" t="n">
        <f aca="false">IFERROR(IFERROR(-PPMT(D$22,((11-1)*12)+1,D$23,D$15),0)+IFERROR(-PPMT(D$22,((11-1)*12)+2,D$23,D$15),0)+IFERROR(-PPMT(D$22,((11-1)*12)+3,D$23,D$15),0)+IFERROR(-PPMT(D$22,((11-1)*12)+4,D$23,D$15),0)+IFERROR(-PPMT(D$22,((11-1)*12)+5,D$23,D$15),0)+IFERROR(-PPMT(D$22,((11-1)*12)+6,D$23,D$15),0)+IFERROR(-PPMT(D$22,((11-1)*12)+7,D$23,D$15),0)+IFERROR(-PPMT(D$22,((11-1)*12)+8,D$23,D$15),0)+IFERROR(-PPMT(D$22,((11-1)*12)+9,D$23,D$15),0)+IFERROR(-PPMT(D$22,((11-1)*12)+10,D$23,D$15),0)+IFERROR(-PPMT(D$22,((11-1)*12)+11,D$23,D$15),0)+IFERROR(-PPMT(D$22,((11-1)*12)+12,D$23,D$15),0),0)</f>
        <v>41656.4967013997</v>
      </c>
      <c r="I16" s="56" t="n">
        <f aca="false">IFERROR(IFERROR(-IPMT(D$22,((11-1)*12)+1,D$23,D$15),0)+IFERROR(-IPMT(D$22,((11-1)*12)+2,D$23,D$15),0)+IFERROR(-IPMT(D$22,((11-1)*12)+3,D$23,D$15),0)+IFERROR(-IPMT(D$22,((11-1)*12)+4,D$23,D$15),0)+IFERROR(-IPMT(D$22,((11-1)*12)+5,D$23,D$15),0)+IFERROR(-IPMT(D$22,((11-1)*12)+6,D$23,D$15),0)+IFERROR(-IPMT(D$22,((11-1)*12)+7,D$23,D$15),0)+IFERROR(-IPMT(D$22,((11-1)*12)+8,D$23,D$15),0)+IFERROR(-IPMT(D$22,((11-1)*12)+9,D$23,D$15),0)+IFERROR(-IPMT(D$22,((11-1)*12)+10,D$23,D$15),0)+IFERROR(-IPMT(D$22,((11-1)*12)+11,D$23,D$15),0)+IFERROR(-IPMT(D$22,((11-1)*12)+12,D$23,D$15),0),0)</f>
        <v>38383.3801251267</v>
      </c>
    </row>
    <row r="17" customFormat="false" ht="16.5" hidden="false" customHeight="true" outlineLevel="0" collapsed="false">
      <c r="B17" s="12" t="s">
        <v>140</v>
      </c>
      <c r="C17" s="12" t="s">
        <v>141</v>
      </c>
      <c r="D17" s="36" t="n">
        <v>25</v>
      </c>
      <c r="E17" s="61" t="s">
        <v>139</v>
      </c>
      <c r="G17" s="58" t="n">
        <v>12</v>
      </c>
      <c r="H17" s="59" t="n">
        <f aca="false">IFERROR(IFERROR(-PPMT(D$22,((12-1)*12)+1,D$23,D$15),0)+IFERROR(-PPMT(D$22,((12-1)*12)+2,D$23,D$15),0)+IFERROR(-PPMT(D$22,((12-1)*12)+3,D$23,D$15),0)+IFERROR(-PPMT(D$22,((12-1)*12)+4,D$23,D$15),0)+IFERROR(-PPMT(D$22,((12-1)*12)+5,D$23,D$15),0)+IFERROR(-PPMT(D$22,((12-1)*12)+6,D$23,D$15),0)+IFERROR(-PPMT(D$22,((12-1)*12)+7,D$23,D$15),0)+IFERROR(-PPMT(D$22,((12-1)*12)+8,D$23,D$15),0)+IFERROR(-PPMT(D$22,((12-1)*12)+9,D$23,D$15),0)+IFERROR(-PPMT(D$22,((12-1)*12)+10,D$23,D$15),0)+IFERROR(-PPMT(D$22,((12-1)*12)+11,D$23,D$15),0)+IFERROR(-PPMT(D$22,((12-1)*12)+12,D$23,D$15),0),0)</f>
        <v>43570.1888716659</v>
      </c>
      <c r="I17" s="60" t="n">
        <f aca="false">IFERROR(IFERROR(-IPMT(D$22,((12-1)*12)+1,D$23,D$15),0)+IFERROR(-IPMT(D$22,((12-1)*12)+2,D$23,D$15),0)+IFERROR(-IPMT(D$22,((12-1)*12)+3,D$23,D$15),0)+IFERROR(-IPMT(D$22,((12-1)*12)+4,D$23,D$15),0)+IFERROR(-IPMT(D$22,((12-1)*12)+5,D$23,D$15),0)+IFERROR(-IPMT(D$22,((12-1)*12)+6,D$23,D$15),0)+IFERROR(-IPMT(D$22,((12-1)*12)+7,D$23,D$15),0)+IFERROR(-IPMT(D$22,((12-1)*12)+8,D$23,D$15),0)+IFERROR(-IPMT(D$22,((12-1)*12)+9,D$23,D$15),0)+IFERROR(-IPMT(D$22,((12-1)*12)+10,D$23,D$15),0)+IFERROR(-IPMT(D$22,((12-1)*12)+11,D$23,D$15),0)+IFERROR(-IPMT(D$22,((12-1)*12)+12,D$23,D$15),0),0)</f>
        <v>36469.6879548605</v>
      </c>
    </row>
    <row r="18" customFormat="false" ht="16.5" hidden="false" customHeight="true" outlineLevel="0" collapsed="false">
      <c r="B18" s="12" t="s">
        <v>142</v>
      </c>
      <c r="C18" s="12" t="s">
        <v>143</v>
      </c>
      <c r="D18" s="62" t="n">
        <f aca="false">D15*0.0025+290</f>
        <v>3290</v>
      </c>
      <c r="E18" s="64" t="n">
        <f aca="false">0</f>
        <v>0</v>
      </c>
      <c r="G18" s="54" t="n">
        <v>13</v>
      </c>
      <c r="H18" s="55" t="n">
        <f aca="false">IFERROR(IFERROR(-PPMT(D$22,((13-1)*12)+1,D$23,D$15),0)+IFERROR(-PPMT(D$22,((13-1)*12)+2,D$23,D$15),0)+IFERROR(-PPMT(D$22,((13-1)*12)+3,D$23,D$15),0)+IFERROR(-PPMT(D$22,((13-1)*12)+4,D$23,D$15),0)+IFERROR(-PPMT(D$22,((13-1)*12)+5,D$23,D$15),0)+IFERROR(-PPMT(D$22,((13-1)*12)+6,D$23,D$15),0)+IFERROR(-PPMT(D$22,((13-1)*12)+7,D$23,D$15),0)+IFERROR(-PPMT(D$22,((13-1)*12)+8,D$23,D$15),0)+IFERROR(-PPMT(D$22,((13-1)*12)+9,D$23,D$15),0)+IFERROR(-PPMT(D$22,((13-1)*12)+10,D$23,D$15),0)+IFERROR(-PPMT(D$22,((13-1)*12)+11,D$23,D$15),0)+IFERROR(-PPMT(D$22,((13-1)*12)+12,D$23,D$15),0),0)</f>
        <v>45571.7957254156</v>
      </c>
      <c r="I18" s="56" t="n">
        <f aca="false">IFERROR(IFERROR(-IPMT(D$22,((13-1)*12)+1,D$23,D$15),0)+IFERROR(-IPMT(D$22,((13-1)*12)+2,D$23,D$15),0)+IFERROR(-IPMT(D$22,((13-1)*12)+3,D$23,D$15),0)+IFERROR(-IPMT(D$22,((13-1)*12)+4,D$23,D$15),0)+IFERROR(-IPMT(D$22,((13-1)*12)+5,D$23,D$15),0)+IFERROR(-IPMT(D$22,((13-1)*12)+6,D$23,D$15),0)+IFERROR(-IPMT(D$22,((13-1)*12)+7,D$23,D$15),0)+IFERROR(-IPMT(D$22,((13-1)*12)+8,D$23,D$15),0)+IFERROR(-IPMT(D$22,((13-1)*12)+9,D$23,D$15),0)+IFERROR(-IPMT(D$22,((13-1)*12)+10,D$23,D$15),0)+IFERROR(-IPMT(D$22,((13-1)*12)+11,D$23,D$15),0)+IFERROR(-IPMT(D$22,((13-1)*12)+12,D$23,D$15),0),0)</f>
        <v>34468.0811011108</v>
      </c>
    </row>
    <row r="19" customFormat="false" ht="16.5" hidden="false" customHeight="true" outlineLevel="0" collapsed="false">
      <c r="B19" s="12" t="s">
        <v>144</v>
      </c>
      <c r="C19" s="12" t="s">
        <v>145</v>
      </c>
      <c r="D19" s="57" t="n">
        <v>3000</v>
      </c>
      <c r="E19" s="64" t="n">
        <f aca="false">0</f>
        <v>0</v>
      </c>
      <c r="G19" s="58" t="n">
        <v>14</v>
      </c>
      <c r="H19" s="59" t="n">
        <f aca="false">IFERROR(IFERROR(-PPMT(D$22,((14-1)*12)+1,D$23,D$15),0)+IFERROR(-PPMT(D$22,((14-1)*12)+2,D$23,D$15),0)+IFERROR(-PPMT(D$22,((14-1)*12)+3,D$23,D$15),0)+IFERROR(-PPMT(D$22,((14-1)*12)+4,D$23,D$15),0)+IFERROR(-PPMT(D$22,((14-1)*12)+5,D$23,D$15),0)+IFERROR(-PPMT(D$22,((14-1)*12)+6,D$23,D$15),0)+IFERROR(-PPMT(D$22,((14-1)*12)+7,D$23,D$15),0)+IFERROR(-PPMT(D$22,((14-1)*12)+8,D$23,D$15),0)+IFERROR(-PPMT(D$22,((14-1)*12)+9,D$23,D$15),0)+IFERROR(-PPMT(D$22,((14-1)*12)+10,D$23,D$15),0)+IFERROR(-PPMT(D$22,((14-1)*12)+11,D$23,D$15),0)+IFERROR(-PPMT(D$22,((14-1)*12)+12,D$23,D$15),0),0)</f>
        <v>47665.3560478267</v>
      </c>
      <c r="I19" s="60" t="n">
        <f aca="false">IFERROR(IFERROR(-IPMT(D$22,((14-1)*12)+1,D$23,D$15),0)+IFERROR(-IPMT(D$22,((14-1)*12)+2,D$23,D$15),0)+IFERROR(-IPMT(D$22,((14-1)*12)+3,D$23,D$15),0)+IFERROR(-IPMT(D$22,((14-1)*12)+4,D$23,D$15),0)+IFERROR(-IPMT(D$22,((14-1)*12)+5,D$23,D$15),0)+IFERROR(-IPMT(D$22,((14-1)*12)+6,D$23,D$15),0)+IFERROR(-IPMT(D$22,((14-1)*12)+7,D$23,D$15),0)+IFERROR(-IPMT(D$22,((14-1)*12)+8,D$23,D$15),0)+IFERROR(-IPMT(D$22,((14-1)*12)+9,D$23,D$15),0)+IFERROR(-IPMT(D$22,((14-1)*12)+10,D$23,D$15),0)+IFERROR(-IPMT(D$22,((14-1)*12)+11,D$23,D$15),0)+IFERROR(-IPMT(D$22,((14-1)*12)+12,D$23,D$15),0),0)</f>
        <v>32374.5207786997</v>
      </c>
    </row>
    <row r="20" customFormat="false" ht="16.5" hidden="false" customHeight="true" outlineLevel="0" collapsed="false">
      <c r="G20" s="54" t="n">
        <v>15</v>
      </c>
      <c r="H20" s="55" t="n">
        <f aca="false">IFERROR(IFERROR(-PPMT(D$22,((15-1)*12)+1,D$23,D$15),0)+IFERROR(-PPMT(D$22,((15-1)*12)+2,D$23,D$15),0)+IFERROR(-PPMT(D$22,((15-1)*12)+3,D$23,D$15),0)+IFERROR(-PPMT(D$22,((15-1)*12)+4,D$23,D$15),0)+IFERROR(-PPMT(D$22,((15-1)*12)+5,D$23,D$15),0)+IFERROR(-PPMT(D$22,((15-1)*12)+6,D$23,D$15),0)+IFERROR(-PPMT(D$22,((15-1)*12)+7,D$23,D$15),0)+IFERROR(-PPMT(D$22,((15-1)*12)+8,D$23,D$15),0)+IFERROR(-PPMT(D$22,((15-1)*12)+9,D$23,D$15),0)+IFERROR(-PPMT(D$22,((15-1)*12)+10,D$23,D$15),0)+IFERROR(-PPMT(D$22,((15-1)*12)+11,D$23,D$15),0)+IFERROR(-PPMT(D$22,((15-1)*12)+12,D$23,D$15),0),0)</f>
        <v>49855.0941651613</v>
      </c>
      <c r="I20" s="56" t="n">
        <f aca="false">IFERROR(IFERROR(-IPMT(D$22,((15-1)*12)+1,D$23,D$15),0)+IFERROR(-IPMT(D$22,((15-1)*12)+2,D$23,D$15),0)+IFERROR(-IPMT(D$22,((15-1)*12)+3,D$23,D$15),0)+IFERROR(-IPMT(D$22,((15-1)*12)+4,D$23,D$15),0)+IFERROR(-IPMT(D$22,((15-1)*12)+5,D$23,D$15),0)+IFERROR(-IPMT(D$22,((15-1)*12)+6,D$23,D$15),0)+IFERROR(-IPMT(D$22,((15-1)*12)+7,D$23,D$15),0)+IFERROR(-IPMT(D$22,((15-1)*12)+8,D$23,D$15),0)+IFERROR(-IPMT(D$22,((15-1)*12)+9,D$23,D$15),0)+IFERROR(-IPMT(D$22,((15-1)*12)+10,D$23,D$15),0)+IFERROR(-IPMT(D$22,((15-1)*12)+11,D$23,D$15),0)+IFERROR(-IPMT(D$22,((15-1)*12)+12,D$23,D$15),0),0)</f>
        <v>30184.7826613651</v>
      </c>
    </row>
    <row r="21" customFormat="false" ht="16.5" hidden="false" customHeight="true" outlineLevel="0" collapsed="false">
      <c r="C21" s="17" t="s">
        <v>146</v>
      </c>
      <c r="D21" s="17"/>
      <c r="E21" s="17"/>
      <c r="G21" s="58" t="n">
        <v>16</v>
      </c>
      <c r="H21" s="59" t="n">
        <f aca="false">IFERROR(IFERROR(-PPMT(D$22,((16-1)*12)+1,D$23,D$15),0)+IFERROR(-PPMT(D$22,((16-1)*12)+2,D$23,D$15),0)+IFERROR(-PPMT(D$22,((16-1)*12)+3,D$23,D$15),0)+IFERROR(-PPMT(D$22,((16-1)*12)+4,D$23,D$15),0)+IFERROR(-PPMT(D$22,((16-1)*12)+5,D$23,D$15),0)+IFERROR(-PPMT(D$22,((16-1)*12)+6,D$23,D$15),0)+IFERROR(-PPMT(D$22,((16-1)*12)+7,D$23,D$15),0)+IFERROR(-PPMT(D$22,((16-1)*12)+8,D$23,D$15),0)+IFERROR(-PPMT(D$22,((16-1)*12)+9,D$23,D$15),0)+IFERROR(-PPMT(D$22,((16-1)*12)+10,D$23,D$15),0)+IFERROR(-PPMT(D$22,((16-1)*12)+11,D$23,D$15),0)+IFERROR(-PPMT(D$22,((16-1)*12)+12,D$23,D$15),0),0)</f>
        <v>52145.4284684909</v>
      </c>
      <c r="I21" s="60" t="n">
        <f aca="false">IFERROR(IFERROR(-IPMT(D$22,((16-1)*12)+1,D$23,D$15),0)+IFERROR(-IPMT(D$22,((16-1)*12)+2,D$23,D$15),0)+IFERROR(-IPMT(D$22,((16-1)*12)+3,D$23,D$15),0)+IFERROR(-IPMT(D$22,((16-1)*12)+4,D$23,D$15),0)+IFERROR(-IPMT(D$22,((16-1)*12)+5,D$23,D$15),0)+IFERROR(-IPMT(D$22,((16-1)*12)+6,D$23,D$15),0)+IFERROR(-IPMT(D$22,((16-1)*12)+7,D$23,D$15),0)+IFERROR(-IPMT(D$22,((16-1)*12)+8,D$23,D$15),0)+IFERROR(-IPMT(D$22,((16-1)*12)+9,D$23,D$15),0)+IFERROR(-IPMT(D$22,((16-1)*12)+10,D$23,D$15),0)+IFERROR(-IPMT(D$22,((16-1)*12)+11,D$23,D$15),0)+IFERROR(-IPMT(D$22,((16-1)*12)+12,D$23,D$15),0),0)</f>
        <v>27894.4483580355</v>
      </c>
    </row>
    <row r="22" customFormat="false" ht="16.5" hidden="false" customHeight="true" outlineLevel="0" collapsed="false">
      <c r="B22" s="12"/>
      <c r="C22" s="12" t="s">
        <v>147</v>
      </c>
      <c r="D22" s="65" t="n">
        <f aca="false">IFERROR(D16/12,0)</f>
        <v>0.00375</v>
      </c>
      <c r="E22" s="66" t="n">
        <f aca="false">0</f>
        <v>0</v>
      </c>
      <c r="G22" s="54" t="n">
        <v>17</v>
      </c>
      <c r="H22" s="55" t="n">
        <f aca="false">IFERROR(IFERROR(-PPMT(D$22,((17-1)*12)+1,D$23,D$15),0)+IFERROR(-PPMT(D$22,((17-1)*12)+2,D$23,D$15),0)+IFERROR(-PPMT(D$22,((17-1)*12)+3,D$23,D$15),0)+IFERROR(-PPMT(D$22,((17-1)*12)+4,D$23,D$15),0)+IFERROR(-PPMT(D$22,((17-1)*12)+5,D$23,D$15),0)+IFERROR(-PPMT(D$22,((17-1)*12)+6,D$23,D$15),0)+IFERROR(-PPMT(D$22,((17-1)*12)+7,D$23,D$15),0)+IFERROR(-PPMT(D$22,((17-1)*12)+8,D$23,D$15),0)+IFERROR(-PPMT(D$22,((17-1)*12)+9,D$23,D$15),0)+IFERROR(-PPMT(D$22,((17-1)*12)+10,D$23,D$15),0)+IFERROR(-PPMT(D$22,((17-1)*12)+11,D$23,D$15),0)+IFERROR(-PPMT(D$22,((17-1)*12)+12,D$23,D$15),0),0)</f>
        <v>54540.980329</v>
      </c>
      <c r="I22" s="56" t="n">
        <f aca="false">IFERROR(IFERROR(-IPMT(D$22,((17-1)*12)+1,D$23,D$15),0)+IFERROR(-IPMT(D$22,((17-1)*12)+2,D$23,D$15),0)+IFERROR(-IPMT(D$22,((17-1)*12)+3,D$23,D$15),0)+IFERROR(-IPMT(D$22,((17-1)*12)+4,D$23,D$15),0)+IFERROR(-IPMT(D$22,((17-1)*12)+5,D$23,D$15),0)+IFERROR(-IPMT(D$22,((17-1)*12)+6,D$23,D$15),0)+IFERROR(-IPMT(D$22,((17-1)*12)+7,D$23,D$15),0)+IFERROR(-IPMT(D$22,((17-1)*12)+8,D$23,D$15),0)+IFERROR(-IPMT(D$22,((17-1)*12)+9,D$23,D$15),0)+IFERROR(-IPMT(D$22,((17-1)*12)+10,D$23,D$15),0)+IFERROR(-IPMT(D$22,((17-1)*12)+11,D$23,D$15),0)+IFERROR(-IPMT(D$22,((17-1)*12)+12,D$23,D$15),0),0)</f>
        <v>25498.8964975264</v>
      </c>
    </row>
    <row r="23" customFormat="false" ht="16.5" hidden="false" customHeight="true" outlineLevel="0" collapsed="false">
      <c r="B23" s="12"/>
      <c r="C23" s="12" t="s">
        <v>148</v>
      </c>
      <c r="D23" s="67" t="n">
        <f aca="false">D17*12</f>
        <v>300</v>
      </c>
      <c r="E23" s="68" t="n">
        <f aca="false">0</f>
        <v>0</v>
      </c>
      <c r="G23" s="58" t="n">
        <v>18</v>
      </c>
      <c r="H23" s="59" t="n">
        <f aca="false">IFERROR(IFERROR(-PPMT(D$22,((18-1)*12)+1,D$23,D$15),0)+IFERROR(-PPMT(D$22,((18-1)*12)+2,D$23,D$15),0)+IFERROR(-PPMT(D$22,((18-1)*12)+3,D$23,D$15),0)+IFERROR(-PPMT(D$22,((18-1)*12)+4,D$23,D$15),0)+IFERROR(-PPMT(D$22,((18-1)*12)+5,D$23,D$15),0)+IFERROR(-PPMT(D$22,((18-1)*12)+6,D$23,D$15),0)+IFERROR(-PPMT(D$22,((18-1)*12)+7,D$23,D$15),0)+IFERROR(-PPMT(D$22,((18-1)*12)+8,D$23,D$15),0)+IFERROR(-PPMT(D$22,((18-1)*12)+9,D$23,D$15),0)+IFERROR(-PPMT(D$22,((18-1)*12)+10,D$23,D$15),0)+IFERROR(-PPMT(D$22,((18-1)*12)+11,D$23,D$15),0)+IFERROR(-PPMT(D$22,((18-1)*12)+12,D$23,D$15),0),0)</f>
        <v>57046.5834228565</v>
      </c>
      <c r="I23" s="60" t="n">
        <f aca="false">IFERROR(IFERROR(-IPMT(D$22,((18-1)*12)+1,D$23,D$15),0)+IFERROR(-IPMT(D$22,((18-1)*12)+2,D$23,D$15),0)+IFERROR(-IPMT(D$22,((18-1)*12)+3,D$23,D$15),0)+IFERROR(-IPMT(D$22,((18-1)*12)+4,D$23,D$15),0)+IFERROR(-IPMT(D$22,((18-1)*12)+5,D$23,D$15),0)+IFERROR(-IPMT(D$22,((18-1)*12)+6,D$23,D$15),0)+IFERROR(-IPMT(D$22,((18-1)*12)+7,D$23,D$15),0)+IFERROR(-IPMT(D$22,((18-1)*12)+8,D$23,D$15),0)+IFERROR(-IPMT(D$22,((18-1)*12)+9,D$23,D$15),0)+IFERROR(-IPMT(D$22,((18-1)*12)+10,D$23,D$15),0)+IFERROR(-IPMT(D$22,((18-1)*12)+11,D$23,D$15),0)+IFERROR(-IPMT(D$22,((18-1)*12)+12,D$23,D$15),0),0)</f>
        <v>22993.2934036699</v>
      </c>
    </row>
    <row r="24" customFormat="false" ht="16.5" hidden="false" customHeight="true" outlineLevel="0" collapsed="false">
      <c r="B24" s="12" t="s">
        <v>149</v>
      </c>
      <c r="C24" s="69" t="s">
        <v>150</v>
      </c>
      <c r="D24" s="70" t="n">
        <f aca="false">IFERROR(-PMT(D22,D23,D15),0)</f>
        <v>6669.98973554387</v>
      </c>
      <c r="E24" s="64" t="n">
        <f aca="false">0</f>
        <v>0</v>
      </c>
      <c r="G24" s="54" t="n">
        <v>19</v>
      </c>
      <c r="H24" s="55" t="n">
        <f aca="false">IFERROR(IFERROR(-PPMT(D$22,((19-1)*12)+1,D$23,D$15),0)+IFERROR(-PPMT(D$22,((19-1)*12)+2,D$23,D$15),0)+IFERROR(-PPMT(D$22,((19-1)*12)+3,D$23,D$15),0)+IFERROR(-PPMT(D$22,((19-1)*12)+4,D$23,D$15),0)+IFERROR(-PPMT(D$22,((19-1)*12)+5,D$23,D$15),0)+IFERROR(-PPMT(D$22,((19-1)*12)+6,D$23,D$15),0)+IFERROR(-PPMT(D$22,((19-1)*12)+7,D$23,D$15),0)+IFERROR(-PPMT(D$22,((19-1)*12)+8,D$23,D$15),0)+IFERROR(-PPMT(D$22,((19-1)*12)+9,D$23,D$15),0)+IFERROR(-PPMT(D$22,((19-1)*12)+10,D$23,D$15),0)+IFERROR(-PPMT(D$22,((19-1)*12)+11,D$23,D$15),0)+IFERROR(-PPMT(D$22,((19-1)*12)+12,D$23,D$15),0),0)</f>
        <v>59667.2934844659</v>
      </c>
      <c r="I24" s="56" t="n">
        <f aca="false">IFERROR(IFERROR(-IPMT(D$22,((19-1)*12)+1,D$23,D$15),0)+IFERROR(-IPMT(D$22,((19-1)*12)+2,D$23,D$15),0)+IFERROR(-IPMT(D$22,((19-1)*12)+3,D$23,D$15),0)+IFERROR(-IPMT(D$22,((19-1)*12)+4,D$23,D$15),0)+IFERROR(-IPMT(D$22,((19-1)*12)+5,D$23,D$15),0)+IFERROR(-IPMT(D$22,((19-1)*12)+6,D$23,D$15),0)+IFERROR(-IPMT(D$22,((19-1)*12)+7,D$23,D$15),0)+IFERROR(-IPMT(D$22,((19-1)*12)+8,D$23,D$15),0)+IFERROR(-IPMT(D$22,((19-1)*12)+9,D$23,D$15),0)+IFERROR(-IPMT(D$22,((19-1)*12)+10,D$23,D$15),0)+IFERROR(-IPMT(D$22,((19-1)*12)+11,D$23,D$15),0)+IFERROR(-IPMT(D$22,((19-1)*12)+12,D$23,D$15),0),0)</f>
        <v>20372.5833420605</v>
      </c>
    </row>
    <row r="25" customFormat="false" ht="16.5" hidden="false" customHeight="true" outlineLevel="0" collapsed="false">
      <c r="B25" s="12" t="s">
        <v>151</v>
      </c>
      <c r="C25" s="69" t="s">
        <v>152</v>
      </c>
      <c r="D25" s="70" t="n">
        <f aca="false">D24*12</f>
        <v>80039.8768265264</v>
      </c>
      <c r="E25" s="64" t="n">
        <f aca="false">0</f>
        <v>0</v>
      </c>
      <c r="G25" s="58" t="n">
        <v>20</v>
      </c>
      <c r="H25" s="59" t="n">
        <f aca="false">IFERROR(IFERROR(-PPMT(D$22,((20-1)*12)+1,D$23,D$15),0)+IFERROR(-PPMT(D$22,((20-1)*12)+2,D$23,D$15),0)+IFERROR(-PPMT(D$22,((20-1)*12)+3,D$23,D$15),0)+IFERROR(-PPMT(D$22,((20-1)*12)+4,D$23,D$15),0)+IFERROR(-PPMT(D$22,((20-1)*12)+5,D$23,D$15),0)+IFERROR(-PPMT(D$22,((20-1)*12)+6,D$23,D$15),0)+IFERROR(-PPMT(D$22,((20-1)*12)+7,D$23,D$15),0)+IFERROR(-PPMT(D$22,((20-1)*12)+8,D$23,D$15),0)+IFERROR(-PPMT(D$22,((20-1)*12)+9,D$23,D$15),0)+IFERROR(-PPMT(D$22,((20-1)*12)+10,D$23,D$15),0)+IFERROR(-PPMT(D$22,((20-1)*12)+11,D$23,D$15),0)+IFERROR(-PPMT(D$22,((20-1)*12)+12,D$23,D$15),0),0)</f>
        <v>62408.3985077878</v>
      </c>
      <c r="I25" s="60" t="n">
        <f aca="false">IFERROR(IFERROR(-IPMT(D$22,((20-1)*12)+1,D$23,D$15),0)+IFERROR(-IPMT(D$22,((20-1)*12)+2,D$23,D$15),0)+IFERROR(-IPMT(D$22,((20-1)*12)+3,D$23,D$15),0)+IFERROR(-IPMT(D$22,((20-1)*12)+4,D$23,D$15),0)+IFERROR(-IPMT(D$22,((20-1)*12)+5,D$23,D$15),0)+IFERROR(-IPMT(D$22,((20-1)*12)+6,D$23,D$15),0)+IFERROR(-IPMT(D$22,((20-1)*12)+7,D$23,D$15),0)+IFERROR(-IPMT(D$22,((20-1)*12)+8,D$23,D$15),0)+IFERROR(-IPMT(D$22,((20-1)*12)+9,D$23,D$15),0)+IFERROR(-IPMT(D$22,((20-1)*12)+10,D$23,D$15),0)+IFERROR(-IPMT(D$22,((20-1)*12)+11,D$23,D$15),0)+IFERROR(-IPMT(D$22,((20-1)*12)+12,D$23,D$15),0),0)</f>
        <v>17631.4783187386</v>
      </c>
    </row>
    <row r="26" customFormat="false" ht="16.5" hidden="false" customHeight="true" outlineLevel="0" collapsed="false">
      <c r="B26" s="12"/>
      <c r="C26" s="12" t="s">
        <v>153</v>
      </c>
      <c r="D26" s="71" t="n">
        <f aca="false">IFERROR((D24*D23)-D15,0)</f>
        <v>800996.92066316</v>
      </c>
      <c r="E26" s="64" t="n">
        <f aca="false">0</f>
        <v>0</v>
      </c>
      <c r="G26" s="54" t="n">
        <v>21</v>
      </c>
      <c r="H26" s="55" t="n">
        <f aca="false">IFERROR(IFERROR(-PPMT(D$22,((21-1)*12)+1,D$23,D$15),0)+IFERROR(-PPMT(D$22,((21-1)*12)+2,D$23,D$15),0)+IFERROR(-PPMT(D$22,((21-1)*12)+3,D$23,D$15),0)+IFERROR(-PPMT(D$22,((21-1)*12)+4,D$23,D$15),0)+IFERROR(-PPMT(D$22,((21-1)*12)+5,D$23,D$15),0)+IFERROR(-PPMT(D$22,((21-1)*12)+6,D$23,D$15),0)+IFERROR(-PPMT(D$22,((21-1)*12)+7,D$23,D$15),0)+IFERROR(-PPMT(D$22,((21-1)*12)+8,D$23,D$15),0)+IFERROR(-PPMT(D$22,((21-1)*12)+9,D$23,D$15),0)+IFERROR(-PPMT(D$22,((21-1)*12)+10,D$23,D$15),0)+IFERROR(-PPMT(D$22,((21-1)*12)+11,D$23,D$15),0)+IFERROR(-PPMT(D$22,((21-1)*12)+12,D$23,D$15),0),0)</f>
        <v>65275.4294162989</v>
      </c>
      <c r="I26" s="56" t="n">
        <f aca="false">IFERROR(IFERROR(-IPMT(D$22,((21-1)*12)+1,D$23,D$15),0)+IFERROR(-IPMT(D$22,((21-1)*12)+2,D$23,D$15),0)+IFERROR(-IPMT(D$22,((21-1)*12)+3,D$23,D$15),0)+IFERROR(-IPMT(D$22,((21-1)*12)+4,D$23,D$15),0)+IFERROR(-IPMT(D$22,((21-1)*12)+5,D$23,D$15),0)+IFERROR(-IPMT(D$22,((21-1)*12)+6,D$23,D$15),0)+IFERROR(-IPMT(D$22,((21-1)*12)+7,D$23,D$15),0)+IFERROR(-IPMT(D$22,((21-1)*12)+8,D$23,D$15),0)+IFERROR(-IPMT(D$22,((21-1)*12)+9,D$23,D$15),0)+IFERROR(-IPMT(D$22,((21-1)*12)+10,D$23,D$15),0)+IFERROR(-IPMT(D$22,((21-1)*12)+11,D$23,D$15),0)+IFERROR(-IPMT(D$22,((21-1)*12)+12,D$23,D$15),0),0)</f>
        <v>14764.4474102275</v>
      </c>
    </row>
    <row r="27" customFormat="false" ht="16.5" hidden="false" customHeight="true" outlineLevel="0" collapsed="false">
      <c r="B27" s="12"/>
      <c r="C27" s="12" t="s">
        <v>154</v>
      </c>
      <c r="D27" s="62" t="n">
        <f aca="false">IFERROR(D24*D23,0)</f>
        <v>2000996.92066316</v>
      </c>
      <c r="E27" s="64" t="n">
        <f aca="false">E7</f>
        <v>1500000</v>
      </c>
      <c r="G27" s="58" t="n">
        <v>22</v>
      </c>
      <c r="H27" s="59" t="n">
        <f aca="false">IFERROR(IFERROR(-PPMT(D$22,((22-1)*12)+1,D$23,D$15),0)+IFERROR(-PPMT(D$22,((22-1)*12)+2,D$23,D$15),0)+IFERROR(-PPMT(D$22,((22-1)*12)+3,D$23,D$15),0)+IFERROR(-PPMT(D$22,((22-1)*12)+4,D$23,D$15),0)+IFERROR(-PPMT(D$22,((22-1)*12)+5,D$23,D$15),0)+IFERROR(-PPMT(D$22,((22-1)*12)+6,D$23,D$15),0)+IFERROR(-PPMT(D$22,((22-1)*12)+7,D$23,D$15),0)+IFERROR(-PPMT(D$22,((22-1)*12)+8,D$23,D$15),0)+IFERROR(-PPMT(D$22,((22-1)*12)+9,D$23,D$15),0)+IFERROR(-PPMT(D$22,((22-1)*12)+10,D$23,D$15),0)+IFERROR(-PPMT(D$22,((22-1)*12)+11,D$23,D$15),0)+IFERROR(-PPMT(D$22,((22-1)*12)+12,D$23,D$15),0),0)</f>
        <v>68274.1712231331</v>
      </c>
      <c r="I27" s="60" t="n">
        <f aca="false">IFERROR(IFERROR(-IPMT(D$22,((22-1)*12)+1,D$23,D$15),0)+IFERROR(-IPMT(D$22,((22-1)*12)+2,D$23,D$15),0)+IFERROR(-IPMT(D$22,((22-1)*12)+3,D$23,D$15),0)+IFERROR(-IPMT(D$22,((22-1)*12)+4,D$23,D$15),0)+IFERROR(-IPMT(D$22,((22-1)*12)+5,D$23,D$15),0)+IFERROR(-IPMT(D$22,((22-1)*12)+6,D$23,D$15),0)+IFERROR(-IPMT(D$22,((22-1)*12)+7,D$23,D$15),0)+IFERROR(-IPMT(D$22,((22-1)*12)+8,D$23,D$15),0)+IFERROR(-IPMT(D$22,((22-1)*12)+9,D$23,D$15),0)+IFERROR(-IPMT(D$22,((22-1)*12)+10,D$23,D$15),0)+IFERROR(-IPMT(D$22,((22-1)*12)+11,D$23,D$15),0)+IFERROR(-IPMT(D$22,((22-1)*12)+12,D$23,D$15),0),0)</f>
        <v>11765.7056033934</v>
      </c>
    </row>
    <row r="28" customFormat="false" ht="16.5" hidden="false" customHeight="true" outlineLevel="0" collapsed="false">
      <c r="G28" s="54" t="n">
        <v>23</v>
      </c>
      <c r="H28" s="55" t="n">
        <f aca="false">IFERROR(IFERROR(-PPMT(D$22,((23-1)*12)+1,D$23,D$15),0)+IFERROR(-PPMT(D$22,((23-1)*12)+2,D$23,D$15),0)+IFERROR(-PPMT(D$22,((23-1)*12)+3,D$23,D$15),0)+IFERROR(-PPMT(D$22,((23-1)*12)+4,D$23,D$15),0)+IFERROR(-PPMT(D$22,((23-1)*12)+5,D$23,D$15),0)+IFERROR(-PPMT(D$22,((23-1)*12)+6,D$23,D$15),0)+IFERROR(-PPMT(D$22,((23-1)*12)+7,D$23,D$15),0)+IFERROR(-PPMT(D$22,((23-1)*12)+8,D$23,D$15),0)+IFERROR(-PPMT(D$22,((23-1)*12)+9,D$23,D$15),0)+IFERROR(-PPMT(D$22,((23-1)*12)+10,D$23,D$15),0)+IFERROR(-PPMT(D$22,((23-1)*12)+11,D$23,D$15),0)+IFERROR(-PPMT(D$22,((23-1)*12)+12,D$23,D$15),0),0)</f>
        <v>71410.674703915</v>
      </c>
      <c r="I28" s="56" t="n">
        <f aca="false">IFERROR(IFERROR(-IPMT(D$22,((23-1)*12)+1,D$23,D$15),0)+IFERROR(-IPMT(D$22,((23-1)*12)+2,D$23,D$15),0)+IFERROR(-IPMT(D$22,((23-1)*12)+3,D$23,D$15),0)+IFERROR(-IPMT(D$22,((23-1)*12)+4,D$23,D$15),0)+IFERROR(-IPMT(D$22,((23-1)*12)+5,D$23,D$15),0)+IFERROR(-IPMT(D$22,((23-1)*12)+6,D$23,D$15),0)+IFERROR(-IPMT(D$22,((23-1)*12)+7,D$23,D$15),0)+IFERROR(-IPMT(D$22,((23-1)*12)+8,D$23,D$15),0)+IFERROR(-IPMT(D$22,((23-1)*12)+9,D$23,D$15),0)+IFERROR(-IPMT(D$22,((23-1)*12)+10,D$23,D$15),0)+IFERROR(-IPMT(D$22,((23-1)*12)+11,D$23,D$15),0)+IFERROR(-IPMT(D$22,((23-1)*12)+12,D$23,D$15),0),0)</f>
        <v>8629.20212261139</v>
      </c>
    </row>
    <row r="29" customFormat="false" ht="16.5" hidden="false" customHeight="true" outlineLevel="0" collapsed="false">
      <c r="C29" s="17" t="s">
        <v>155</v>
      </c>
      <c r="D29" s="17"/>
      <c r="E29" s="17"/>
      <c r="G29" s="58" t="n">
        <v>24</v>
      </c>
      <c r="H29" s="59" t="n">
        <f aca="false">IFERROR(IFERROR(-PPMT(D$22,((24-1)*12)+1,D$23,D$15),0)+IFERROR(-PPMT(D$22,((24-1)*12)+2,D$23,D$15),0)+IFERROR(-PPMT(D$22,((24-1)*12)+3,D$23,D$15),0)+IFERROR(-PPMT(D$22,((24-1)*12)+4,D$23,D$15),0)+IFERROR(-PPMT(D$22,((24-1)*12)+5,D$23,D$15),0)+IFERROR(-PPMT(D$22,((24-1)*12)+6,D$23,D$15),0)+IFERROR(-PPMT(D$22,((24-1)*12)+7,D$23,D$15),0)+IFERROR(-PPMT(D$22,((24-1)*12)+8,D$23,D$15),0)+IFERROR(-PPMT(D$22,((24-1)*12)+9,D$23,D$15),0)+IFERROR(-PPMT(D$22,((24-1)*12)+10,D$23,D$15),0)+IFERROR(-PPMT(D$22,((24-1)*12)+11,D$23,D$15),0)+IFERROR(-PPMT(D$22,((24-1)*12)+12,D$23,D$15),0),0)</f>
        <v>74691.2686058433</v>
      </c>
      <c r="I29" s="60" t="n">
        <f aca="false">IFERROR(IFERROR(-IPMT(D$22,((24-1)*12)+1,D$23,D$15),0)+IFERROR(-IPMT(D$22,((24-1)*12)+2,D$23,D$15),0)+IFERROR(-IPMT(D$22,((24-1)*12)+3,D$23,D$15),0)+IFERROR(-IPMT(D$22,((24-1)*12)+4,D$23,D$15),0)+IFERROR(-IPMT(D$22,((24-1)*12)+5,D$23,D$15),0)+IFERROR(-IPMT(D$22,((24-1)*12)+6,D$23,D$15),0)+IFERROR(-IPMT(D$22,((24-1)*12)+7,D$23,D$15),0)+IFERROR(-IPMT(D$22,((24-1)*12)+8,D$23,D$15),0)+IFERROR(-IPMT(D$22,((24-1)*12)+9,D$23,D$15),0)+IFERROR(-IPMT(D$22,((24-1)*12)+10,D$23,D$15),0)+IFERROR(-IPMT(D$22,((24-1)*12)+11,D$23,D$15),0)+IFERROR(-IPMT(D$22,((24-1)*12)+12,D$23,D$15),0),0)</f>
        <v>5348.60822068308</v>
      </c>
    </row>
    <row r="30" customFormat="false" ht="16.5" hidden="false" customHeight="true" outlineLevel="0" collapsed="false">
      <c r="B30" s="12"/>
      <c r="C30" s="12" t="s">
        <v>156</v>
      </c>
      <c r="D30" s="62" t="n">
        <f aca="false">D14+D10+D18+D19</f>
        <v>396290</v>
      </c>
      <c r="E30" s="62" t="n">
        <f aca="false">E7+E10</f>
        <v>1560000</v>
      </c>
      <c r="G30" s="54" t="n">
        <v>25</v>
      </c>
      <c r="H30" s="55" t="n">
        <f aca="false">IFERROR(IFERROR(-PPMT(D$22,((25-1)*12)+1,D$23,D$15),0)+IFERROR(-PPMT(D$22,((25-1)*12)+2,D$23,D$15),0)+IFERROR(-PPMT(D$22,((25-1)*12)+3,D$23,D$15),0)+IFERROR(-PPMT(D$22,((25-1)*12)+4,D$23,D$15),0)+IFERROR(-PPMT(D$22,((25-1)*12)+5,D$23,D$15),0)+IFERROR(-PPMT(D$22,((25-1)*12)+6,D$23,D$15),0)+IFERROR(-PPMT(D$22,((25-1)*12)+7,D$23,D$15),0)+IFERROR(-PPMT(D$22,((25-1)*12)+8,D$23,D$15),0)+IFERROR(-PPMT(D$22,((25-1)*12)+9,D$23,D$15),0)+IFERROR(-PPMT(D$22,((25-1)*12)+10,D$23,D$15),0)+IFERROR(-PPMT(D$22,((25-1)*12)+11,D$23,D$15),0)+IFERROR(-PPMT(D$22,((25-1)*12)+12,D$23,D$15),0),0)</f>
        <v>78122.5724176555</v>
      </c>
      <c r="I30" s="56" t="n">
        <f aca="false">IFERROR(IFERROR(-IPMT(D$22,((25-1)*12)+1,D$23,D$15),0)+IFERROR(-IPMT(D$22,((25-1)*12)+2,D$23,D$15),0)+IFERROR(-IPMT(D$22,((25-1)*12)+3,D$23,D$15),0)+IFERROR(-IPMT(D$22,((25-1)*12)+4,D$23,D$15),0)+IFERROR(-IPMT(D$22,((25-1)*12)+5,D$23,D$15),0)+IFERROR(-IPMT(D$22,((25-1)*12)+6,D$23,D$15),0)+IFERROR(-IPMT(D$22,((25-1)*12)+7,D$23,D$15),0)+IFERROR(-IPMT(D$22,((25-1)*12)+8,D$23,D$15),0)+IFERROR(-IPMT(D$22,((25-1)*12)+9,D$23,D$15),0)+IFERROR(-IPMT(D$22,((25-1)*12)+10,D$23,D$15),0)+IFERROR(-IPMT(D$22,((25-1)*12)+11,D$23,D$15),0)+IFERROR(-IPMT(D$22,((25-1)*12)+12,D$23,D$15),0),0)</f>
        <v>1917.30440887096</v>
      </c>
    </row>
    <row r="31" customFormat="false" ht="19.5" hidden="false" customHeight="true" outlineLevel="0" collapsed="false">
      <c r="B31" s="12" t="s">
        <v>157</v>
      </c>
      <c r="C31" s="69" t="s">
        <v>158</v>
      </c>
      <c r="D31" s="72" t="n">
        <f aca="false">D30+(D25*D17)</f>
        <v>2397286.92066316</v>
      </c>
      <c r="E31" s="72" t="n">
        <f aca="false">E30</f>
        <v>1560000</v>
      </c>
      <c r="G31" s="7" t="s">
        <v>159</v>
      </c>
      <c r="H31" s="73" t="n">
        <f aca="false">SUM(H6:H30)</f>
        <v>1199999.99999998</v>
      </c>
      <c r="I31" s="73" t="n">
        <f aca="false">SUM(I6:I30)</f>
        <v>800996.920663178</v>
      </c>
    </row>
    <row r="33" customFormat="false" ht="19.5" hidden="false" customHeight="true" outlineLevel="0" collapsed="false">
      <c r="C33" s="17" t="s">
        <v>160</v>
      </c>
      <c r="D33" s="17"/>
      <c r="E33" s="17"/>
      <c r="G33" s="17" t="s">
        <v>161</v>
      </c>
      <c r="H33" s="17"/>
      <c r="I33" s="17"/>
    </row>
    <row r="34" customFormat="false" ht="18" hidden="false" customHeight="true" outlineLevel="0" collapsed="false">
      <c r="B34" s="12"/>
      <c r="C34" s="12" t="s">
        <v>162</v>
      </c>
      <c r="D34" s="62" t="n">
        <f aca="false">D8</f>
        <v>110000</v>
      </c>
      <c r="E34" s="62" t="n">
        <f aca="false">E8</f>
        <v>110000</v>
      </c>
      <c r="G34" s="74" t="s">
        <v>163</v>
      </c>
      <c r="H34" s="75" t="s">
        <v>164</v>
      </c>
      <c r="I34" s="75"/>
    </row>
    <row r="35" customFormat="false" ht="18" hidden="false" customHeight="true" outlineLevel="0" collapsed="false">
      <c r="B35" s="12"/>
      <c r="C35" s="12" t="s">
        <v>165</v>
      </c>
      <c r="D35" s="71" t="n">
        <f aca="false">D8*0.05</f>
        <v>5500</v>
      </c>
      <c r="E35" s="71" t="n">
        <f aca="false">E8*0.05</f>
        <v>5500</v>
      </c>
      <c r="G35" s="74" t="s">
        <v>166</v>
      </c>
      <c r="H35" s="75" t="s">
        <v>167</v>
      </c>
      <c r="I35" s="75"/>
    </row>
    <row r="36" customFormat="false" ht="18" hidden="false" customHeight="true" outlineLevel="0" collapsed="false">
      <c r="B36" s="12"/>
      <c r="C36" s="12" t="s">
        <v>168</v>
      </c>
      <c r="D36" s="71" t="n">
        <f aca="false">D9</f>
        <v>35000</v>
      </c>
      <c r="E36" s="71" t="n">
        <f aca="false">E9</f>
        <v>35000</v>
      </c>
      <c r="G36" s="74" t="s">
        <v>169</v>
      </c>
      <c r="H36" s="75" t="s">
        <v>170</v>
      </c>
      <c r="I36" s="75"/>
    </row>
    <row r="37" customFormat="false" ht="18" hidden="false" customHeight="true" outlineLevel="0" collapsed="false">
      <c r="B37" s="12"/>
      <c r="C37" s="12" t="s">
        <v>171</v>
      </c>
      <c r="D37" s="71" t="n">
        <f aca="false">D25</f>
        <v>80039.8768265264</v>
      </c>
      <c r="E37" s="64" t="n">
        <f aca="false">0</f>
        <v>0</v>
      </c>
      <c r="G37" s="74" t="s">
        <v>172</v>
      </c>
      <c r="H37" s="75" t="s">
        <v>173</v>
      </c>
      <c r="I37" s="75"/>
    </row>
    <row r="38" customFormat="false" ht="18" hidden="false" customHeight="true" outlineLevel="0" collapsed="false">
      <c r="B38" s="12" t="s">
        <v>174</v>
      </c>
      <c r="C38" s="69" t="s">
        <v>175</v>
      </c>
      <c r="D38" s="76" t="n">
        <f aca="false">D8-D35-D9-D25</f>
        <v>-10539.8768265264</v>
      </c>
      <c r="E38" s="76" t="n">
        <f aca="false">E8-E35-E9</f>
        <v>69500</v>
      </c>
      <c r="G38" s="74" t="s">
        <v>176</v>
      </c>
      <c r="H38" s="75" t="s">
        <v>177</v>
      </c>
      <c r="I38" s="75"/>
    </row>
    <row r="39" customFormat="false" ht="18" hidden="false" customHeight="true" outlineLevel="0" collapsed="false">
      <c r="B39" s="12" t="s">
        <v>178</v>
      </c>
      <c r="C39" s="12" t="s">
        <v>179</v>
      </c>
      <c r="D39" s="77" t="n">
        <f aca="false">D38/12</f>
        <v>-878.323068877201</v>
      </c>
      <c r="E39" s="77" t="n">
        <f aca="false">E38/12</f>
        <v>5791.66666666667</v>
      </c>
      <c r="G39" s="74" t="s">
        <v>180</v>
      </c>
      <c r="H39" s="75" t="s">
        <v>181</v>
      </c>
      <c r="I39" s="75"/>
    </row>
    <row r="40" customFormat="false" ht="18" hidden="false" customHeight="true" outlineLevel="0" collapsed="false">
      <c r="G40" s="74" t="s">
        <v>182</v>
      </c>
      <c r="H40" s="75" t="s">
        <v>183</v>
      </c>
      <c r="I40" s="75"/>
    </row>
    <row r="41" customFormat="false" ht="19.5" hidden="false" customHeight="true" outlineLevel="0" collapsed="false">
      <c r="C41" s="27" t="s">
        <v>184</v>
      </c>
      <c r="D41" s="27"/>
      <c r="E41" s="27"/>
    </row>
    <row r="42" customFormat="false" ht="21.75" hidden="false" customHeight="true" outlineLevel="0" collapsed="false">
      <c r="B42" s="12" t="s">
        <v>58</v>
      </c>
      <c r="C42" s="28" t="s">
        <v>185</v>
      </c>
      <c r="D42" s="78" t="n">
        <f aca="false">IFERROR(D8/D7,0)</f>
        <v>0.0733333333333333</v>
      </c>
      <c r="E42" s="78" t="n">
        <f aca="false">IFERROR(E8/E7,0)</f>
        <v>0.0733333333333333</v>
      </c>
    </row>
    <row r="43" customFormat="false" ht="21.75" hidden="false" customHeight="true" outlineLevel="0" collapsed="false">
      <c r="B43" s="12" t="s">
        <v>60</v>
      </c>
      <c r="C43" s="28" t="s">
        <v>186</v>
      </c>
      <c r="D43" s="78" t="n">
        <f aca="false">IFERROR((D8-D9)/D7,0)</f>
        <v>0.05</v>
      </c>
      <c r="E43" s="78" t="n">
        <f aca="false">IFERROR((E8-E9)/E7,0)</f>
        <v>0.05</v>
      </c>
    </row>
    <row r="44" customFormat="false" ht="21.75" hidden="false" customHeight="true" outlineLevel="0" collapsed="false">
      <c r="B44" s="12" t="s">
        <v>62</v>
      </c>
      <c r="C44" s="30" t="s">
        <v>187</v>
      </c>
      <c r="D44" s="79" t="n">
        <f aca="false">IFERROR(D38/D30,0)</f>
        <v>-0.0265963734298781</v>
      </c>
      <c r="E44" s="79" t="n">
        <f aca="false">IFERROR(E38/E30,0)</f>
        <v>0.0445512820512821</v>
      </c>
    </row>
    <row r="45" customFormat="false" ht="21.75" hidden="false" customHeight="true" outlineLevel="0" collapsed="false">
      <c r="B45" s="12" t="s">
        <v>64</v>
      </c>
      <c r="C45" s="30" t="s">
        <v>63</v>
      </c>
      <c r="D45" s="79" t="n">
        <f aca="false">IFERROR(D38/D31,0)</f>
        <v>-0.00439658546320804</v>
      </c>
      <c r="E45" s="79" t="n">
        <f aca="false">IFERROR(E38/E30,0)</f>
        <v>0.0445512820512821</v>
      </c>
    </row>
    <row r="46" customFormat="false" ht="21.75" hidden="false" customHeight="true" outlineLevel="0" collapsed="false">
      <c r="B46" s="12" t="s">
        <v>66</v>
      </c>
      <c r="C46" s="30" t="s">
        <v>65</v>
      </c>
      <c r="D46" s="79" t="n">
        <f aca="false">IFERROR(D38/D14,0)</f>
        <v>-0.035132922755088</v>
      </c>
      <c r="E46" s="79" t="n">
        <f aca="false">IFERROR(E38/E7,0)</f>
        <v>0.0463333333333333</v>
      </c>
    </row>
    <row r="47" customFormat="false" ht="21.75" hidden="false" customHeight="true" outlineLevel="0" collapsed="false">
      <c r="B47" s="12" t="s">
        <v>68</v>
      </c>
      <c r="C47" s="34" t="s">
        <v>188</v>
      </c>
      <c r="D47" s="80" t="n">
        <f aca="false">IFERROR(D46/D43,0)</f>
        <v>-0.70265845510176</v>
      </c>
      <c r="E47" s="80" t="n">
        <f aca="false">IFERROR(E46/E43,0)</f>
        <v>0.926666666666667</v>
      </c>
    </row>
    <row r="48" customFormat="false" ht="21.75" hidden="false" customHeight="true" outlineLevel="0" collapsed="false">
      <c r="B48" s="12" t="s">
        <v>70</v>
      </c>
      <c r="C48" s="34" t="s">
        <v>189</v>
      </c>
      <c r="D48" s="80" t="n">
        <f aca="false">IFERROR((D8-D9)/D25,0)</f>
        <v>0.937032926256877</v>
      </c>
      <c r="E48" s="81" t="n">
        <f aca="false">999</f>
        <v>999</v>
      </c>
    </row>
    <row r="49" customFormat="false" ht="21.75" hidden="false" customHeight="true" outlineLevel="0" collapsed="false">
      <c r="B49" s="12" t="s">
        <v>75</v>
      </c>
      <c r="C49" s="34" t="s">
        <v>190</v>
      </c>
      <c r="D49" s="82" t="n">
        <f aca="false">IFERROR(D30/MAX(D38,1),0)</f>
        <v>396290</v>
      </c>
      <c r="E49" s="82" t="n">
        <f aca="false">IFERROR(E30/MAX(E38,1),0)</f>
        <v>22.4460431654676</v>
      </c>
    </row>
    <row r="50" customFormat="false" ht="21.75" hidden="false" customHeight="true" outlineLevel="0" collapsed="false">
      <c r="B50" s="12" t="s">
        <v>77</v>
      </c>
      <c r="C50" s="34" t="s">
        <v>191</v>
      </c>
      <c r="D50" s="83" t="n">
        <f aca="false">IFERROR((D9+D25)/D8,0)</f>
        <v>1.04581706205933</v>
      </c>
      <c r="E50" s="83" t="n">
        <f aca="false">IFERROR(E9/E8,0)</f>
        <v>0.318181818181818</v>
      </c>
    </row>
    <row r="51" customFormat="false" ht="18" hidden="false" customHeight="true" outlineLevel="0" collapsed="false">
      <c r="B51" s="12" t="s">
        <v>79</v>
      </c>
      <c r="C51" s="84" t="s">
        <v>192</v>
      </c>
      <c r="D51" s="85" t="n">
        <f aca="false">IFERROR((D26/D17)/D8,0)</f>
        <v>0.291271607513876</v>
      </c>
      <c r="E51" s="86" t="n">
        <f aca="false">0</f>
        <v>0</v>
      </c>
    </row>
    <row r="53" customFormat="false" ht="19.5" hidden="false" customHeight="true" outlineLevel="0" collapsed="false">
      <c r="C53" s="8" t="s">
        <v>193</v>
      </c>
      <c r="D53" s="8"/>
      <c r="E53" s="8"/>
    </row>
    <row r="54" customFormat="false" ht="18" hidden="false" customHeight="true" outlineLevel="0" collapsed="false">
      <c r="B54" s="12" t="s">
        <v>93</v>
      </c>
      <c r="C54" s="69" t="s">
        <v>194</v>
      </c>
      <c r="D54" s="87" t="str">
        <f aca="false">IF(D44&gt;E44,"✅ MORTGAGE WINS","❌ Cash wins")</f>
        <v>❌ Cash wins</v>
      </c>
      <c r="E54" s="87" t="str">
        <f aca="false">IF(E44&gt;=D44,"✅ CASH WINS","❌ Mortgage wins")</f>
        <v>✅ CASH WINS</v>
      </c>
    </row>
    <row r="55" customFormat="false" ht="18" hidden="false" customHeight="true" outlineLevel="0" collapsed="false">
      <c r="B55" s="12" t="s">
        <v>93</v>
      </c>
      <c r="C55" s="69" t="s">
        <v>195</v>
      </c>
      <c r="D55" s="87" t="str">
        <f aca="false">IF(D46&gt;E46,"✅ MORTGAGE WINS","❌ Cash wins")</f>
        <v>❌ Cash wins</v>
      </c>
      <c r="E55" s="87" t="str">
        <f aca="false">IF(E46&gt;=D46,"✅ CASH WINS","❌ Mortgage wins")</f>
        <v>✅ CASH WINS</v>
      </c>
    </row>
    <row r="56" customFormat="false" ht="18" hidden="false" customHeight="true" outlineLevel="0" collapsed="false">
      <c r="B56" s="12" t="s">
        <v>93</v>
      </c>
      <c r="C56" s="69" t="s">
        <v>196</v>
      </c>
      <c r="D56" s="87" t="str">
        <f aca="false">IF(D48&gt;=1.25,"✅ SAFE — covers debt","⚠️ RISKY — below 1.25x")</f>
        <v>⚠️ RISKY — below 1.25x</v>
      </c>
      <c r="E56" s="87" t="s">
        <v>197</v>
      </c>
    </row>
    <row r="57" customFormat="false" ht="18" hidden="false" customHeight="true" outlineLevel="0" collapsed="false">
      <c r="B57" s="12" t="s">
        <v>93</v>
      </c>
      <c r="C57" s="69" t="s">
        <v>198</v>
      </c>
      <c r="D57" s="87" t="str">
        <f aca="false">IF(D38&gt;0,"✅ POSITIVE — "&amp;TEXT(D38,"#,##0")&amp;" AED/yr","⚠️ NEGATIVE — "&amp;TEXT(D38,"#,##0")&amp;" AED/yr")</f>
        <v>⚠️ NEGATIVE — -10,540 AED/yr</v>
      </c>
      <c r="E57" s="87" t="str">
        <f aca="false">IF(E38&gt;0,"✅ POSITIVE — "&amp;TEXT(E38,"#,##0")&amp;" AED/yr","⚠️ NEGATIVE — "&amp;TEXT(E38,"#,##0")&amp;" AED/yr")</f>
        <v>✅ POSITIVE — 69,500 AED/yr</v>
      </c>
    </row>
    <row r="60" customFormat="false" ht="19.5" hidden="false" customHeight="true" outlineLevel="0" collapsed="false">
      <c r="C60" s="17" t="s">
        <v>199</v>
      </c>
      <c r="D60" s="17"/>
      <c r="E60" s="17"/>
    </row>
    <row r="61" customFormat="false" ht="21.75" hidden="false" customHeight="true" outlineLevel="0" collapsed="false">
      <c r="C61" s="7" t="s">
        <v>200</v>
      </c>
      <c r="D61" s="7" t="s">
        <v>201</v>
      </c>
      <c r="E61" s="7" t="s">
        <v>202</v>
      </c>
    </row>
    <row r="62" customFormat="false" ht="18" hidden="false" customHeight="true" outlineLevel="0" collapsed="false">
      <c r="C62" s="12" t="s">
        <v>203</v>
      </c>
      <c r="D62" s="88" t="n">
        <f aca="false">D42</f>
        <v>0.0733333333333333</v>
      </c>
      <c r="E62" s="88" t="n">
        <f aca="false">E42</f>
        <v>0.0733333333333333</v>
      </c>
    </row>
    <row r="63" customFormat="false" ht="18" hidden="false" customHeight="true" outlineLevel="0" collapsed="false">
      <c r="C63" s="10" t="s">
        <v>204</v>
      </c>
      <c r="D63" s="89" t="n">
        <f aca="false">D43</f>
        <v>0.05</v>
      </c>
      <c r="E63" s="89" t="n">
        <f aca="false">E43</f>
        <v>0.05</v>
      </c>
    </row>
    <row r="64" customFormat="false" ht="18" hidden="false" customHeight="true" outlineLevel="0" collapsed="false">
      <c r="C64" s="12" t="s">
        <v>205</v>
      </c>
      <c r="D64" s="88" t="n">
        <f aca="false">D44</f>
        <v>-0.0265963734298781</v>
      </c>
      <c r="E64" s="88" t="n">
        <f aca="false">E44</f>
        <v>0.0445512820512821</v>
      </c>
    </row>
    <row r="65" customFormat="false" ht="18" hidden="false" customHeight="true" outlineLevel="0" collapsed="false">
      <c r="C65" s="10" t="s">
        <v>206</v>
      </c>
      <c r="D65" s="89" t="n">
        <f aca="false">D45</f>
        <v>-0.00439658546320804</v>
      </c>
      <c r="E65" s="89" t="n">
        <f aca="false">E45</f>
        <v>0.0445512820512821</v>
      </c>
    </row>
    <row r="66" customFormat="false" ht="18" hidden="false" customHeight="true" outlineLevel="0" collapsed="false">
      <c r="C66" s="12" t="s">
        <v>166</v>
      </c>
      <c r="D66" s="88" t="n">
        <f aca="false">D46</f>
        <v>-0.035132922755088</v>
      </c>
      <c r="E66" s="88" t="n">
        <f aca="false">E46</f>
        <v>0.0463333333333333</v>
      </c>
    </row>
    <row r="67" customFormat="false" ht="18" hidden="false" customHeight="true" outlineLevel="0" collapsed="false">
      <c r="C67" s="10" t="s">
        <v>176</v>
      </c>
      <c r="D67" s="89" t="n">
        <f aca="false">D50</f>
        <v>1.04581706205933</v>
      </c>
      <c r="E67" s="89" t="n">
        <f aca="false">E50</f>
        <v>0.318181818181818</v>
      </c>
    </row>
  </sheetData>
  <mergeCells count="19">
    <mergeCell ref="A1:I1"/>
    <mergeCell ref="A2:I2"/>
    <mergeCell ref="G4:I4"/>
    <mergeCell ref="C5:E5"/>
    <mergeCell ref="C12:E12"/>
    <mergeCell ref="C21:E21"/>
    <mergeCell ref="C29:E29"/>
    <mergeCell ref="C33:E33"/>
    <mergeCell ref="G33:I33"/>
    <mergeCell ref="H34:I34"/>
    <mergeCell ref="H35:I35"/>
    <mergeCell ref="H36:I36"/>
    <mergeCell ref="H37:I37"/>
    <mergeCell ref="H38:I38"/>
    <mergeCell ref="H39:I39"/>
    <mergeCell ref="H40:I40"/>
    <mergeCell ref="C41:E41"/>
    <mergeCell ref="C53:E53"/>
    <mergeCell ref="C60:E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6E6E"/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12" min="3" style="1" width="14"/>
  </cols>
  <sheetData>
    <row r="1" customFormat="false" ht="39.75" hidden="false" customHeight="true" outlineLevel="0" collapsed="false">
      <c r="A1" s="51" t="s">
        <v>207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customFormat="false" ht="21.75" hidden="false" customHeight="true" outlineLevel="0" collapsed="false">
      <c r="A2" s="3" t="s">
        <v>208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B4" s="17" t="s">
        <v>209</v>
      </c>
      <c r="C4" s="17"/>
      <c r="D4" s="17"/>
      <c r="E4" s="17"/>
      <c r="F4" s="17"/>
      <c r="G4" s="17"/>
      <c r="H4" s="17"/>
      <c r="I4" s="17"/>
      <c r="J4" s="17"/>
      <c r="K4" s="17"/>
    </row>
    <row r="5" customFormat="false" ht="18" hidden="false" customHeight="true" outlineLevel="0" collapsed="false">
      <c r="B5" s="69" t="s">
        <v>210</v>
      </c>
      <c r="C5" s="15" t="n">
        <v>1200000</v>
      </c>
      <c r="E5" s="69" t="s">
        <v>211</v>
      </c>
      <c r="F5" s="15" t="n">
        <v>90000</v>
      </c>
      <c r="H5" s="69" t="s">
        <v>212</v>
      </c>
      <c r="I5" s="18" t="n">
        <v>0.05</v>
      </c>
    </row>
    <row r="6" customFormat="false" ht="18" hidden="false" customHeight="true" outlineLevel="0" collapsed="false">
      <c r="B6" s="69" t="s">
        <v>126</v>
      </c>
      <c r="C6" s="15" t="n">
        <v>30000</v>
      </c>
      <c r="E6" s="69" t="s">
        <v>213</v>
      </c>
      <c r="F6" s="18" t="n">
        <v>0.03</v>
      </c>
      <c r="H6" s="69" t="s">
        <v>214</v>
      </c>
      <c r="I6" s="18" t="n">
        <v>0.05</v>
      </c>
    </row>
    <row r="8" customFormat="false" ht="19.5" hidden="false" customHeight="true" outlineLevel="0" collapsed="false">
      <c r="B8" s="8" t="s">
        <v>215</v>
      </c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true" outlineLevel="0" collapsed="false">
      <c r="B9" s="53" t="s">
        <v>3</v>
      </c>
      <c r="C9" s="7" t="s">
        <v>216</v>
      </c>
      <c r="D9" s="7" t="s">
        <v>217</v>
      </c>
      <c r="E9" s="7" t="s">
        <v>218</v>
      </c>
      <c r="F9" s="7" t="s">
        <v>219</v>
      </c>
      <c r="G9" s="7" t="s">
        <v>220</v>
      </c>
      <c r="H9" s="7" t="s">
        <v>221</v>
      </c>
      <c r="I9" s="7" t="s">
        <v>222</v>
      </c>
      <c r="J9" s="7" t="s">
        <v>223</v>
      </c>
      <c r="K9" s="7" t="s">
        <v>224</v>
      </c>
      <c r="L9" s="7" t="s">
        <v>225</v>
      </c>
    </row>
    <row r="10" customFormat="false" ht="18" hidden="false" customHeight="true" outlineLevel="0" collapsed="false">
      <c r="B10" s="90" t="s">
        <v>226</v>
      </c>
      <c r="C10" s="91" t="n">
        <f aca="false">$C$5*(1+$I$5)</f>
        <v>1260000</v>
      </c>
      <c r="D10" s="91" t="n">
        <f aca="false">$C10*(1+$I$5)</f>
        <v>1323000</v>
      </c>
      <c r="E10" s="91" t="n">
        <f aca="false">$D10*(1+$I$5)</f>
        <v>1389150</v>
      </c>
      <c r="F10" s="91" t="n">
        <f aca="false">$E10*(1+$I$5)</f>
        <v>1458607.5</v>
      </c>
      <c r="G10" s="91" t="n">
        <f aca="false">$F10*(1+$I$5)</f>
        <v>1531537.875</v>
      </c>
      <c r="H10" s="91" t="n">
        <f aca="false">$G10*(1+$I$5)</f>
        <v>1608114.76875</v>
      </c>
      <c r="I10" s="91" t="n">
        <f aca="false">$H10*(1+$I$5)</f>
        <v>1688520.5071875</v>
      </c>
      <c r="J10" s="91" t="n">
        <f aca="false">$I10*(1+$I$5)</f>
        <v>1772946.53254688</v>
      </c>
      <c r="K10" s="91" t="n">
        <f aca="false">$J10*(1+$I$5)</f>
        <v>1861593.85917422</v>
      </c>
      <c r="L10" s="91" t="n">
        <f aca="false">$K10*(1+$I$5)</f>
        <v>1954673.55213293</v>
      </c>
    </row>
    <row r="11" customFormat="false" ht="18" hidden="false" customHeight="true" outlineLevel="0" collapsed="false">
      <c r="B11" s="92" t="s">
        <v>227</v>
      </c>
      <c r="C11" s="19" t="n">
        <f aca="false">$F$5</f>
        <v>90000</v>
      </c>
      <c r="D11" s="19" t="n">
        <f aca="false">$C11*(1+$F$6)</f>
        <v>92700</v>
      </c>
      <c r="E11" s="19" t="n">
        <f aca="false">$D11*(1+$F$6)</f>
        <v>95481</v>
      </c>
      <c r="F11" s="19" t="n">
        <f aca="false">$E11*(1+$F$6)</f>
        <v>98345.43</v>
      </c>
      <c r="G11" s="19" t="n">
        <f aca="false">$F11*(1+$F$6)</f>
        <v>101295.7929</v>
      </c>
      <c r="H11" s="19" t="n">
        <f aca="false">$G11*(1+$F$6)</f>
        <v>104334.666687</v>
      </c>
      <c r="I11" s="19" t="n">
        <f aca="false">$H11*(1+$F$6)</f>
        <v>107464.70668761</v>
      </c>
      <c r="J11" s="19" t="n">
        <f aca="false">$I11*(1+$F$6)</f>
        <v>110688.647888238</v>
      </c>
      <c r="K11" s="19" t="n">
        <f aca="false">$J11*(1+$F$6)</f>
        <v>114009.307324885</v>
      </c>
      <c r="L11" s="19" t="n">
        <f aca="false">$K11*(1+$F$6)</f>
        <v>117429.586544632</v>
      </c>
    </row>
    <row r="12" customFormat="false" ht="18" hidden="false" customHeight="true" outlineLevel="0" collapsed="false">
      <c r="B12" s="92" t="s">
        <v>228</v>
      </c>
      <c r="C12" s="19" t="n">
        <f aca="false">$C11*(1-$I$6)</f>
        <v>85500</v>
      </c>
      <c r="D12" s="19" t="n">
        <f aca="false">$D11*(1-$I$6)</f>
        <v>88065</v>
      </c>
      <c r="E12" s="19" t="n">
        <f aca="false">$E11*(1-$I$6)</f>
        <v>90706.95</v>
      </c>
      <c r="F12" s="19" t="n">
        <f aca="false">$F11*(1-$I$6)</f>
        <v>93428.1585</v>
      </c>
      <c r="G12" s="19" t="n">
        <f aca="false">$G11*(1-$I$6)</f>
        <v>96231.003255</v>
      </c>
      <c r="H12" s="19" t="n">
        <f aca="false">$H11*(1-$I$6)</f>
        <v>99117.93335265</v>
      </c>
      <c r="I12" s="19" t="n">
        <f aca="false">$I11*(1-$I$6)</f>
        <v>102091.47135323</v>
      </c>
      <c r="J12" s="19" t="n">
        <f aca="false">$J11*(1-$I$6)</f>
        <v>105154.215493826</v>
      </c>
      <c r="K12" s="19" t="n">
        <f aca="false">$K11*(1-$I$6)</f>
        <v>108308.841958641</v>
      </c>
      <c r="L12" s="19" t="n">
        <f aca="false">$L11*(1-$I$6)</f>
        <v>111558.1072174</v>
      </c>
    </row>
    <row r="13" customFormat="false" ht="18" hidden="false" customHeight="true" outlineLevel="0" collapsed="false">
      <c r="B13" s="93" t="s">
        <v>229</v>
      </c>
      <c r="C13" s="94" t="n">
        <f aca="false">$C$6</f>
        <v>30000</v>
      </c>
      <c r="D13" s="94" t="n">
        <f aca="false">$C13*1.02</f>
        <v>30600</v>
      </c>
      <c r="E13" s="94" t="n">
        <f aca="false">$D13*1.02</f>
        <v>31212</v>
      </c>
      <c r="F13" s="94" t="n">
        <f aca="false">$E13*1.02</f>
        <v>31836.24</v>
      </c>
      <c r="G13" s="94" t="n">
        <f aca="false">$F13*1.02</f>
        <v>32472.9648</v>
      </c>
      <c r="H13" s="94" t="n">
        <f aca="false">$G13*1.02</f>
        <v>33122.424096</v>
      </c>
      <c r="I13" s="94" t="n">
        <f aca="false">$H13*1.02</f>
        <v>33784.87257792</v>
      </c>
      <c r="J13" s="94" t="n">
        <f aca="false">$I13*1.02</f>
        <v>34460.5700294784</v>
      </c>
      <c r="K13" s="94" t="n">
        <f aca="false">$J13*1.02</f>
        <v>35149.781430068</v>
      </c>
      <c r="L13" s="94" t="n">
        <f aca="false">$K13*1.02</f>
        <v>35852.7770586693</v>
      </c>
    </row>
    <row r="14" customFormat="false" ht="18" hidden="false" customHeight="true" outlineLevel="0" collapsed="false">
      <c r="B14" s="95" t="s">
        <v>230</v>
      </c>
      <c r="C14" s="96" t="n">
        <f aca="false">$C12-$C13</f>
        <v>55500</v>
      </c>
      <c r="D14" s="96" t="n">
        <f aca="false">$D12-$D13</f>
        <v>57465</v>
      </c>
      <c r="E14" s="96" t="n">
        <f aca="false">$E12-$E13</f>
        <v>59494.95</v>
      </c>
      <c r="F14" s="96" t="n">
        <f aca="false">$F12-$F13</f>
        <v>61591.9185</v>
      </c>
      <c r="G14" s="96" t="n">
        <f aca="false">$G12-$G13</f>
        <v>63758.038455</v>
      </c>
      <c r="H14" s="96" t="n">
        <f aca="false">$H12-$H13</f>
        <v>65995.50925665</v>
      </c>
      <c r="I14" s="96" t="n">
        <f aca="false">$I12-$I13</f>
        <v>68306.5987753095</v>
      </c>
      <c r="J14" s="96" t="n">
        <f aca="false">$J12-$J13</f>
        <v>70693.645464348</v>
      </c>
      <c r="K14" s="96" t="n">
        <f aca="false">$K12-$K13</f>
        <v>73159.0605285733</v>
      </c>
      <c r="L14" s="96" t="n">
        <f aca="false">$L12-$L13</f>
        <v>75705.3301587311</v>
      </c>
    </row>
    <row r="15" customFormat="false" ht="18" hidden="false" customHeight="true" outlineLevel="0" collapsed="false">
      <c r="B15" s="97" t="s">
        <v>231</v>
      </c>
      <c r="C15" s="98" t="n">
        <f aca="false">$C14</f>
        <v>55500</v>
      </c>
      <c r="D15" s="98" t="n">
        <f aca="false">$C15+$D14</f>
        <v>112965</v>
      </c>
      <c r="E15" s="98" t="n">
        <f aca="false">$D15+$E14</f>
        <v>172459.95</v>
      </c>
      <c r="F15" s="98" t="n">
        <f aca="false">$E15+$F14</f>
        <v>234051.8685</v>
      </c>
      <c r="G15" s="98" t="n">
        <f aca="false">$F15+$G14</f>
        <v>297809.906955</v>
      </c>
      <c r="H15" s="98" t="n">
        <f aca="false">$G15+$H14</f>
        <v>363805.41621165</v>
      </c>
      <c r="I15" s="98" t="n">
        <f aca="false">$H15+$I14</f>
        <v>432112.01498696</v>
      </c>
      <c r="J15" s="98" t="n">
        <f aca="false">$I15+$J14</f>
        <v>502805.660451308</v>
      </c>
      <c r="K15" s="98" t="n">
        <f aca="false">$J15+$K14</f>
        <v>575964.720979881</v>
      </c>
      <c r="L15" s="98" t="n">
        <f aca="false">$K15+$L14</f>
        <v>651670.051138612</v>
      </c>
    </row>
    <row r="16" customFormat="false" ht="18" hidden="false" customHeight="true" outlineLevel="0" collapsed="false">
      <c r="B16" s="99" t="s">
        <v>232</v>
      </c>
      <c r="C16" s="100" t="n">
        <f aca="false">$C10-$C$5</f>
        <v>60000</v>
      </c>
      <c r="D16" s="100" t="n">
        <f aca="false">$D10-$C$5</f>
        <v>123000</v>
      </c>
      <c r="E16" s="100" t="n">
        <f aca="false">$E10-$C$5</f>
        <v>189150</v>
      </c>
      <c r="F16" s="100" t="n">
        <f aca="false">$F10-$C$5</f>
        <v>258607.5</v>
      </c>
      <c r="G16" s="100" t="n">
        <f aca="false">$G10-$C$5</f>
        <v>331537.875</v>
      </c>
      <c r="H16" s="100" t="n">
        <f aca="false">$H10-$C$5</f>
        <v>408114.76875</v>
      </c>
      <c r="I16" s="100" t="n">
        <f aca="false">$I10-$C$5</f>
        <v>488520.5071875</v>
      </c>
      <c r="J16" s="100" t="n">
        <f aca="false">$J10-$C$5</f>
        <v>572946.532546875</v>
      </c>
      <c r="K16" s="100" t="n">
        <f aca="false">$K10-$C$5</f>
        <v>661593.859174219</v>
      </c>
      <c r="L16" s="100" t="n">
        <f aca="false">$L10-$C$5</f>
        <v>754673.55213293</v>
      </c>
    </row>
    <row r="17" customFormat="false" ht="18" hidden="false" customHeight="true" outlineLevel="0" collapsed="false">
      <c r="B17" s="101" t="s">
        <v>233</v>
      </c>
      <c r="C17" s="21" t="n">
        <f aca="false">$C15+$C16</f>
        <v>115500</v>
      </c>
      <c r="D17" s="21" t="n">
        <f aca="false">$D15+$D16</f>
        <v>235965</v>
      </c>
      <c r="E17" s="21" t="n">
        <f aca="false">$E15+$E16</f>
        <v>361609.95</v>
      </c>
      <c r="F17" s="21" t="n">
        <f aca="false">$F15+$F16</f>
        <v>492659.3685</v>
      </c>
      <c r="G17" s="21" t="n">
        <f aca="false">$G15+$G16</f>
        <v>629347.781955</v>
      </c>
      <c r="H17" s="21" t="n">
        <f aca="false">$H15+$H16</f>
        <v>771920.18496165</v>
      </c>
      <c r="I17" s="21" t="n">
        <f aca="false">$I15+$I16</f>
        <v>920632.52217446</v>
      </c>
      <c r="J17" s="21" t="n">
        <f aca="false">$J15+$J16</f>
        <v>1075752.19299818</v>
      </c>
      <c r="K17" s="21" t="n">
        <f aca="false">$K15+$K16</f>
        <v>1237558.5801541</v>
      </c>
      <c r="L17" s="21" t="n">
        <f aca="false">$L15+$L16</f>
        <v>1406343.60327154</v>
      </c>
    </row>
    <row r="18" customFormat="false" ht="18" hidden="false" customHeight="true" outlineLevel="0" collapsed="false">
      <c r="B18" s="92" t="s">
        <v>234</v>
      </c>
      <c r="C18" s="41" t="n">
        <f aca="false">IFERROR($C14/$C$5,0)</f>
        <v>0.04625</v>
      </c>
      <c r="D18" s="41" t="n">
        <f aca="false">IFERROR($D14/$C$5,0)</f>
        <v>0.0478875</v>
      </c>
      <c r="E18" s="41" t="n">
        <f aca="false">IFERROR($E14/$C$5,0)</f>
        <v>0.049579125</v>
      </c>
      <c r="F18" s="41" t="n">
        <f aca="false">IFERROR($F14/$C$5,0)</f>
        <v>0.05132659875</v>
      </c>
      <c r="G18" s="41" t="n">
        <f aca="false">IFERROR($G14/$C$5,0)</f>
        <v>0.0531316987125</v>
      </c>
      <c r="H18" s="41" t="n">
        <f aca="false">IFERROR($H14/$C$5,0)</f>
        <v>0.054996257713875</v>
      </c>
      <c r="I18" s="41" t="n">
        <f aca="false">IFERROR($I14/$C$5,0)</f>
        <v>0.0569221656460913</v>
      </c>
      <c r="J18" s="41" t="n">
        <f aca="false">IFERROR($J14/$C$5,0)</f>
        <v>0.05891137122029</v>
      </c>
      <c r="K18" s="41" t="n">
        <f aca="false">IFERROR($K14/$C$5,0)</f>
        <v>0.060965883773811</v>
      </c>
      <c r="L18" s="41" t="n">
        <f aca="false">IFERROR($L14/$C$5,0)</f>
        <v>0.0630877751322759</v>
      </c>
    </row>
    <row r="19" customFormat="false" ht="18" hidden="false" customHeight="true" outlineLevel="0" collapsed="false">
      <c r="B19" s="95" t="s">
        <v>235</v>
      </c>
      <c r="C19" s="31" t="n">
        <f aca="false">IFERROR($C17/$C$5,0)</f>
        <v>0.09625</v>
      </c>
      <c r="D19" s="31" t="n">
        <f aca="false">IFERROR($D17/$C$5,0)</f>
        <v>0.1966375</v>
      </c>
      <c r="E19" s="31" t="n">
        <f aca="false">IFERROR($E17/$C$5,0)</f>
        <v>0.301341625</v>
      </c>
      <c r="F19" s="31" t="n">
        <f aca="false">IFERROR($F17/$C$5,0)</f>
        <v>0.41054947375</v>
      </c>
      <c r="G19" s="31" t="n">
        <f aca="false">IFERROR($G17/$C$5,0)</f>
        <v>0.5244564849625</v>
      </c>
      <c r="H19" s="31" t="n">
        <f aca="false">IFERROR($H17/$C$5,0)</f>
        <v>0.643266820801375</v>
      </c>
      <c r="I19" s="31" t="n">
        <f aca="false">IFERROR($I17/$C$5,0)</f>
        <v>0.767193768478716</v>
      </c>
      <c r="J19" s="31" t="n">
        <f aca="false">IFERROR($J17/$C$5,0)</f>
        <v>0.896460160831819</v>
      </c>
      <c r="K19" s="31" t="n">
        <f aca="false">IFERROR($K17/$C$5,0)</f>
        <v>1.03129881679508</v>
      </c>
      <c r="L19" s="31" t="n">
        <f aca="false">IFERROR($L17/$C$5,0)</f>
        <v>1.17195300272629</v>
      </c>
    </row>
  </sheetData>
  <mergeCells count="4">
    <mergeCell ref="A1:L1"/>
    <mergeCell ref="A2:L2"/>
    <mergeCell ref="B4:K4"/>
    <mergeCell ref="B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45"/>
  </cols>
  <sheetData>
    <row r="1" customFormat="false" ht="39.75" hidden="false" customHeight="true" outlineLevel="0" collapsed="false">
      <c r="A1" s="51" t="s">
        <v>236</v>
      </c>
      <c r="B1" s="51"/>
      <c r="C1" s="51"/>
      <c r="D1" s="51"/>
    </row>
    <row r="3" customFormat="false" ht="21.75" hidden="false" customHeight="true" outlineLevel="0" collapsed="false">
      <c r="B3" s="53" t="s">
        <v>237</v>
      </c>
      <c r="C3" s="53" t="s">
        <v>238</v>
      </c>
      <c r="D3" s="53" t="s">
        <v>239</v>
      </c>
    </row>
    <row r="4" customFormat="false" ht="27.75" hidden="false" customHeight="true" outlineLevel="0" collapsed="false">
      <c r="B4" s="102" t="s">
        <v>240</v>
      </c>
      <c r="C4" s="102" t="s">
        <v>241</v>
      </c>
      <c r="D4" s="102" t="s">
        <v>242</v>
      </c>
    </row>
    <row r="5" customFormat="false" ht="27.75" hidden="false" customHeight="true" outlineLevel="0" collapsed="false">
      <c r="B5" s="103" t="s">
        <v>243</v>
      </c>
      <c r="C5" s="103" t="s">
        <v>244</v>
      </c>
      <c r="D5" s="103" t="s">
        <v>245</v>
      </c>
    </row>
    <row r="6" customFormat="false" ht="27.75" hidden="false" customHeight="true" outlineLevel="0" collapsed="false">
      <c r="B6" s="102" t="s">
        <v>246</v>
      </c>
      <c r="C6" s="102" t="s">
        <v>247</v>
      </c>
      <c r="D6" s="102" t="s">
        <v>248</v>
      </c>
    </row>
    <row r="7" customFormat="false" ht="27.75" hidden="false" customHeight="true" outlineLevel="0" collapsed="false">
      <c r="B7" s="103" t="s">
        <v>249</v>
      </c>
      <c r="C7" s="103" t="s">
        <v>250</v>
      </c>
      <c r="D7" s="103" t="s">
        <v>251</v>
      </c>
    </row>
    <row r="8" customFormat="false" ht="27.75" hidden="false" customHeight="true" outlineLevel="0" collapsed="false">
      <c r="B8" s="102" t="s">
        <v>252</v>
      </c>
      <c r="C8" s="102" t="s">
        <v>253</v>
      </c>
      <c r="D8" s="102" t="s">
        <v>254</v>
      </c>
    </row>
    <row r="9" customFormat="false" ht="27.75" hidden="false" customHeight="true" outlineLevel="0" collapsed="false">
      <c r="B9" s="103" t="s">
        <v>255</v>
      </c>
      <c r="C9" s="103" t="s">
        <v>256</v>
      </c>
      <c r="D9" s="103" t="s">
        <v>257</v>
      </c>
    </row>
    <row r="10" customFormat="false" ht="27.75" hidden="false" customHeight="true" outlineLevel="0" collapsed="false">
      <c r="B10" s="102" t="s">
        <v>258</v>
      </c>
      <c r="C10" s="102" t="s">
        <v>259</v>
      </c>
      <c r="D10" s="102" t="s">
        <v>260</v>
      </c>
    </row>
    <row r="11" customFormat="false" ht="27.75" hidden="false" customHeight="true" outlineLevel="0" collapsed="false">
      <c r="B11" s="103" t="s">
        <v>261</v>
      </c>
      <c r="C11" s="103" t="s">
        <v>262</v>
      </c>
      <c r="D11" s="103" t="s">
        <v>263</v>
      </c>
    </row>
    <row r="12" customFormat="false" ht="27.75" hidden="false" customHeight="true" outlineLevel="0" collapsed="false">
      <c r="B12" s="102" t="s">
        <v>264</v>
      </c>
      <c r="C12" s="102" t="s">
        <v>265</v>
      </c>
      <c r="D12" s="102" t="s">
        <v>266</v>
      </c>
    </row>
    <row r="13" customFormat="false" ht="27.75" hidden="false" customHeight="true" outlineLevel="0" collapsed="false">
      <c r="B13" s="103" t="s">
        <v>267</v>
      </c>
      <c r="C13" s="103" t="s">
        <v>268</v>
      </c>
      <c r="D13" s="103" t="s">
        <v>269</v>
      </c>
    </row>
    <row r="14" customFormat="false" ht="27.75" hidden="false" customHeight="true" outlineLevel="0" collapsed="false">
      <c r="B14" s="102" t="s">
        <v>270</v>
      </c>
      <c r="C14" s="102" t="s">
        <v>271</v>
      </c>
      <c r="D14" s="102" t="s">
        <v>272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6"/>
  </cols>
  <sheetData>
    <row r="1" customFormat="false" ht="39.75" hidden="false" customHeight="true" outlineLevel="0" collapsed="false">
      <c r="A1" s="51" t="s">
        <v>273</v>
      </c>
      <c r="B1" s="51"/>
      <c r="C1" s="51"/>
      <c r="D1" s="51"/>
      <c r="E1" s="51"/>
      <c r="F1" s="51"/>
      <c r="G1" s="51"/>
      <c r="H1" s="51"/>
      <c r="I1" s="51"/>
      <c r="J1" s="51"/>
    </row>
    <row r="3" customFormat="false" ht="15" hidden="false" customHeight="true" outlineLevel="0" collapsed="false">
      <c r="B3" s="53" t="s">
        <v>200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104"/>
    </row>
    <row r="4" customFormat="false" ht="18" hidden="false" customHeight="true" outlineLevel="0" collapsed="false">
      <c r="B4" s="74" t="s">
        <v>119</v>
      </c>
      <c r="C4" s="105" t="str">
        <f aca="false">'🏠 Property Comparison'!E6</f>
        <v>Property 2</v>
      </c>
      <c r="D4" s="105" t="str">
        <f aca="false">'🏠 Property Comparison'!F6</f>
        <v>Property 3</v>
      </c>
      <c r="E4" s="105" t="str">
        <f aca="false">'🏠 Property Comparison'!G6</f>
        <v>Property 4</v>
      </c>
      <c r="F4" s="105" t="str">
        <f aca="false">'🏠 Property Comparison'!H6</f>
        <v>Property 5</v>
      </c>
      <c r="G4" s="106"/>
      <c r="H4" s="107"/>
    </row>
    <row r="5" customFormat="false" ht="18" hidden="false" customHeight="true" outlineLevel="0" collapsed="false">
      <c r="B5" s="108" t="s">
        <v>274</v>
      </c>
      <c r="C5" s="109" t="n">
        <f aca="false">'🏠 Property Comparison'!E11</f>
        <v>2500000</v>
      </c>
      <c r="D5" s="109" t="n">
        <f aca="false">'🏠 Property Comparison'!F11</f>
        <v>900000</v>
      </c>
      <c r="E5" s="109" t="n">
        <f aca="false">'🏠 Property Comparison'!G11</f>
        <v>6500000</v>
      </c>
      <c r="F5" s="109" t="n">
        <f aca="false">'🏠 Property Comparison'!H11</f>
        <v>1800000</v>
      </c>
      <c r="G5" s="110"/>
      <c r="H5" s="107"/>
    </row>
    <row r="6" customFormat="false" ht="18" hidden="false" customHeight="true" outlineLevel="0" collapsed="false">
      <c r="B6" s="74" t="s">
        <v>275</v>
      </c>
      <c r="C6" s="111" t="n">
        <f aca="false">'🏠 Property Comparison'!E47</f>
        <v>0.048608</v>
      </c>
      <c r="D6" s="111" t="n">
        <f aca="false">'🏠 Property Comparison'!F47</f>
        <v>0.0488231111111111</v>
      </c>
      <c r="E6" s="111" t="n">
        <f aca="false">'🏠 Property Comparison'!G47</f>
        <v>0.0475569230769231</v>
      </c>
      <c r="F6" s="111" t="n">
        <f aca="false">'🏠 Property Comparison'!H47</f>
        <v>0.0477911111111111</v>
      </c>
      <c r="G6" s="106"/>
      <c r="H6" s="107"/>
    </row>
    <row r="7" customFormat="false" ht="18" hidden="false" customHeight="true" outlineLevel="0" collapsed="false">
      <c r="B7" s="108" t="s">
        <v>206</v>
      </c>
      <c r="C7" s="112" t="n">
        <f aca="false">'🏠 Property Comparison'!E48</f>
        <v>0.0446682595111193</v>
      </c>
      <c r="D7" s="112" t="n">
        <f aca="false">'🏠 Property Comparison'!F48</f>
        <v>0.0446326053834434</v>
      </c>
      <c r="E7" s="112" t="n">
        <f aca="false">'🏠 Property Comparison'!G48</f>
        <v>0.0435349623265967</v>
      </c>
      <c r="F7" s="112" t="n">
        <f aca="false">'🏠 Property Comparison'!H48</f>
        <v>0.0437002794005588</v>
      </c>
      <c r="G7" s="110"/>
      <c r="H7" s="107"/>
    </row>
    <row r="8" customFormat="false" ht="18" hidden="false" customHeight="true" outlineLevel="0" collapsed="false">
      <c r="B8" s="74" t="s">
        <v>166</v>
      </c>
      <c r="C8" s="111" t="n">
        <f aca="false">'🏠 Property Comparison'!E49</f>
        <v>0.048608</v>
      </c>
      <c r="D8" s="111" t="n">
        <f aca="false">'🏠 Property Comparison'!F49</f>
        <v>0.0488231111111111</v>
      </c>
      <c r="E8" s="111" t="n">
        <f aca="false">'🏠 Property Comparison'!G49</f>
        <v>0.0475569230769231</v>
      </c>
      <c r="F8" s="111" t="n">
        <f aca="false">'🏠 Property Comparison'!H49</f>
        <v>0.0477911111111111</v>
      </c>
      <c r="G8" s="106"/>
      <c r="H8" s="107"/>
    </row>
    <row r="9" customFormat="false" ht="18" hidden="false" customHeight="true" outlineLevel="0" collapsed="false">
      <c r="B9" s="108" t="s">
        <v>276</v>
      </c>
      <c r="C9" s="109" t="n">
        <f aca="false">'🏠 Property Comparison'!E50</f>
        <v>121520</v>
      </c>
      <c r="D9" s="109" t="n">
        <f aca="false">'🏠 Property Comparison'!F50</f>
        <v>43940.8</v>
      </c>
      <c r="E9" s="109" t="n">
        <f aca="false">'🏠 Property Comparison'!G50</f>
        <v>309120</v>
      </c>
      <c r="F9" s="109" t="n">
        <f aca="false">'🏠 Property Comparison'!H50</f>
        <v>86024</v>
      </c>
      <c r="G9" s="110"/>
      <c r="H9" s="107"/>
    </row>
    <row r="10" customFormat="false" ht="18" hidden="false" customHeight="true" outlineLevel="0" collapsed="false">
      <c r="B10" s="74" t="s">
        <v>277</v>
      </c>
      <c r="C10" s="113" t="n">
        <f aca="false">'🏠 Property Comparison'!E52</f>
        <v>22.3872613561554</v>
      </c>
      <c r="D10" s="113" t="n">
        <f aca="false">'🏠 Property Comparison'!F52</f>
        <v>22.4051451043222</v>
      </c>
      <c r="E10" s="113" t="n">
        <f aca="false">'🏠 Property Comparison'!G52</f>
        <v>22.9700439958592</v>
      </c>
      <c r="F10" s="113" t="n">
        <f aca="false">'🏠 Property Comparison'!H52</f>
        <v>22.8831488886822</v>
      </c>
      <c r="G10" s="106"/>
      <c r="H10" s="107"/>
    </row>
    <row r="11" customFormat="false" ht="18" hidden="false" customHeight="true" outlineLevel="0" collapsed="false">
      <c r="B11" s="108" t="s">
        <v>278</v>
      </c>
      <c r="C11" s="114" t="n">
        <f aca="false">'🏠 Property Comparison'!E66</f>
        <v>4.93105038044477</v>
      </c>
      <c r="D11" s="114" t="n">
        <f aca="false">'🏠 Property Comparison'!F66</f>
        <v>5.13822865978218</v>
      </c>
      <c r="E11" s="114" t="n">
        <f aca="false">'🏠 Property Comparison'!G66</f>
        <v>4.64367541614079</v>
      </c>
      <c r="F11" s="114" t="n">
        <f aca="false">'🏠 Property Comparison'!H66</f>
        <v>4.8596556204668</v>
      </c>
      <c r="G11" s="110"/>
      <c r="H11" s="107"/>
    </row>
    <row r="12" customFormat="false" ht="18" hidden="false" customHeight="true" outlineLevel="0" collapsed="false">
      <c r="B12" s="74" t="s">
        <v>279</v>
      </c>
      <c r="C12" s="115" t="n">
        <f aca="false">'🏠 Property Comparison'!E67</f>
        <v>2</v>
      </c>
      <c r="D12" s="115" t="n">
        <f aca="false">'🏠 Property Comparison'!F67</f>
        <v>1</v>
      </c>
      <c r="E12" s="115" t="n">
        <f aca="false">'🏠 Property Comparison'!G67</f>
        <v>5</v>
      </c>
      <c r="F12" s="115" t="n">
        <f aca="false">'🏠 Property Comparison'!H67</f>
        <v>3</v>
      </c>
      <c r="G12" s="106"/>
      <c r="H12" s="107"/>
    </row>
    <row r="15" customFormat="false" ht="15" hidden="false" customHeight="true" outlineLevel="0" collapsed="false">
      <c r="B15" s="116" t="s">
        <v>280</v>
      </c>
    </row>
    <row r="16" customFormat="false" ht="15" hidden="false" customHeight="true" outlineLevel="0" collapsed="false">
      <c r="B16" s="117" t="s">
        <v>281</v>
      </c>
      <c r="C16" s="111" t="n">
        <f aca="false">'🏠 Property Comparison'!E48</f>
        <v>0.0446682595111193</v>
      </c>
      <c r="D16" s="111" t="n">
        <f aca="false">'🏠 Property Comparison'!F48</f>
        <v>0.0446326053834434</v>
      </c>
      <c r="E16" s="111" t="n">
        <f aca="false">'🏠 Property Comparison'!G48</f>
        <v>0.0435349623265967</v>
      </c>
      <c r="F16" s="111" t="n">
        <f aca="false">'🏠 Property Comparison'!H48</f>
        <v>0.0437002794005588</v>
      </c>
      <c r="G16" s="106"/>
      <c r="H16" s="107"/>
    </row>
    <row r="17" customFormat="false" ht="15" hidden="false" customHeight="true" outlineLevel="0" collapsed="false">
      <c r="B17" s="117" t="s">
        <v>282</v>
      </c>
      <c r="C17" s="112" t="n">
        <f aca="false">'🏠 Property Comparison'!E47</f>
        <v>0.048608</v>
      </c>
      <c r="D17" s="112" t="n">
        <f aca="false">'🏠 Property Comparison'!F47</f>
        <v>0.0488231111111111</v>
      </c>
      <c r="E17" s="112" t="n">
        <f aca="false">'🏠 Property Comparison'!G47</f>
        <v>0.0475569230769231</v>
      </c>
      <c r="F17" s="112" t="n">
        <f aca="false">'🏠 Property Comparison'!H47</f>
        <v>0.0477911111111111</v>
      </c>
      <c r="G17" s="110"/>
      <c r="H17" s="10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2026-03-18T03:54:46Z</dcterms:created>
  <dc:creator>openpyxl</dc:creator>
  <dc:description/>
  <dc:language>en-US</dc:language>
  <cp:lastModifiedBy/>
  <dcterms:modified xsi:type="dcterms:W3CDTF">2026-03-25T02:29:30Z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